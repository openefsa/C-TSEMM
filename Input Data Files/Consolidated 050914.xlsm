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70" windowWidth="7320" windowHeight="4695"/>
  </bookViews>
  <sheets>
    <sheet name="Register" sheetId="66" r:id="rId1"/>
    <sheet name="MM" sheetId="99" r:id="rId2"/>
    <sheet name="LL" sheetId="103" r:id="rId3"/>
    <sheet name="OO" sheetId="37" r:id="rId4"/>
  </sheet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16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D_ES_156">#REF!</definedName>
    <definedName name="D_ES_168">#REF!</definedName>
    <definedName name="D_ES_180">#REF!</definedName>
    <definedName name="D_ES_192">#REF!</definedName>
    <definedName name="D_ES_204">#REF!</definedName>
    <definedName name="D_FS_156">#REF!</definedName>
    <definedName name="D_FS_168">#REF!</definedName>
    <definedName name="D_FS_180">#REF!</definedName>
    <definedName name="D_FS_192">#REF!</definedName>
    <definedName name="D_FS_204">#REF!</definedName>
    <definedName name="D_HS_156">#REF!</definedName>
    <definedName name="D_HS_168">#REF!</definedName>
    <definedName name="D_HS_180">#REF!</definedName>
    <definedName name="D_HS_192">#REF!</definedName>
    <definedName name="D_HS_204">#REF!</definedName>
    <definedName name="EU_S156">#REF!</definedName>
    <definedName name="EU_S168">#REF!</definedName>
    <definedName name="EU_S180">#REF!</definedName>
    <definedName name="EU_S192">#REF!</definedName>
    <definedName name="EU_S204">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1</definedName>
    <definedName name="RiskFixedSeed" hidden="1">1</definedName>
    <definedName name="RiskHasSettings" localSheetId="1" hidden="1">6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75000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UK_S156">#REF!</definedName>
    <definedName name="UK_S168">#REF!</definedName>
    <definedName name="UK_S180">#REF!</definedName>
    <definedName name="UK_S192">#REF!</definedName>
    <definedName name="UK_S204">#REF!</definedName>
  </definedNames>
  <calcPr calcId="145621"/>
</workbook>
</file>

<file path=xl/calcChain.xml><?xml version="1.0" encoding="utf-8"?>
<calcChain xmlns="http://schemas.openxmlformats.org/spreadsheetml/2006/main">
  <c r="D290" i="103" l="1"/>
  <c r="E290" i="103"/>
  <c r="F290" i="103"/>
  <c r="G290" i="103"/>
  <c r="H290" i="103"/>
  <c r="I290" i="103"/>
  <c r="J290" i="103"/>
  <c r="K290" i="103"/>
  <c r="L290" i="103"/>
  <c r="M290" i="103"/>
  <c r="N290" i="103"/>
  <c r="D291" i="103"/>
  <c r="E291" i="103"/>
  <c r="F291" i="103"/>
  <c r="G291" i="103"/>
  <c r="H291" i="103"/>
  <c r="I291" i="103"/>
  <c r="J291" i="103"/>
  <c r="K291" i="103"/>
  <c r="L291" i="103"/>
  <c r="M291" i="103"/>
  <c r="N291" i="103"/>
  <c r="D292" i="103"/>
  <c r="E292" i="103"/>
  <c r="F292" i="103"/>
  <c r="G292" i="103"/>
  <c r="H292" i="103"/>
  <c r="I292" i="103"/>
  <c r="J292" i="103"/>
  <c r="K292" i="103"/>
  <c r="L292" i="103"/>
  <c r="M292" i="103"/>
  <c r="N292" i="103"/>
  <c r="D293" i="103"/>
  <c r="E293" i="103"/>
  <c r="F293" i="103"/>
  <c r="G293" i="103"/>
  <c r="H293" i="103"/>
  <c r="I293" i="103"/>
  <c r="J293" i="103"/>
  <c r="K293" i="103"/>
  <c r="L293" i="103"/>
  <c r="M293" i="103"/>
  <c r="N293" i="103"/>
  <c r="D294" i="103"/>
  <c r="E294" i="103"/>
  <c r="F294" i="103"/>
  <c r="G294" i="103"/>
  <c r="H294" i="103"/>
  <c r="I294" i="103"/>
  <c r="J294" i="103"/>
  <c r="K294" i="103"/>
  <c r="L294" i="103"/>
  <c r="M294" i="103"/>
  <c r="N294" i="103"/>
  <c r="D295" i="103"/>
  <c r="E295" i="103"/>
  <c r="F295" i="103"/>
  <c r="G295" i="103"/>
  <c r="H295" i="103"/>
  <c r="I295" i="103"/>
  <c r="J295" i="103"/>
  <c r="K295" i="103"/>
  <c r="L295" i="103"/>
  <c r="M295" i="103"/>
  <c r="N295" i="103"/>
  <c r="D296" i="103"/>
  <c r="E296" i="103"/>
  <c r="F296" i="103"/>
  <c r="G296" i="103"/>
  <c r="H296" i="103"/>
  <c r="I296" i="103"/>
  <c r="J296" i="103"/>
  <c r="K296" i="103"/>
  <c r="L296" i="103"/>
  <c r="M296" i="103"/>
  <c r="N296" i="103"/>
  <c r="D297" i="103"/>
  <c r="E297" i="103"/>
  <c r="F297" i="103"/>
  <c r="G297" i="103"/>
  <c r="H297" i="103"/>
  <c r="I297" i="103"/>
  <c r="J297" i="103"/>
  <c r="K297" i="103"/>
  <c r="L297" i="103"/>
  <c r="M297" i="103"/>
  <c r="N297" i="103"/>
  <c r="D298" i="103"/>
  <c r="E298" i="103"/>
  <c r="F298" i="103"/>
  <c r="G298" i="103"/>
  <c r="H298" i="103"/>
  <c r="I298" i="103"/>
  <c r="J298" i="103"/>
  <c r="K298" i="103"/>
  <c r="L298" i="103"/>
  <c r="M298" i="103"/>
  <c r="N298" i="103"/>
  <c r="D299" i="103"/>
  <c r="E299" i="103"/>
  <c r="F299" i="103"/>
  <c r="G299" i="103"/>
  <c r="H299" i="103"/>
  <c r="I299" i="103"/>
  <c r="J299" i="103"/>
  <c r="K299" i="103"/>
  <c r="L299" i="103"/>
  <c r="M299" i="103"/>
  <c r="N299" i="103"/>
  <c r="D300" i="103"/>
  <c r="E300" i="103"/>
  <c r="F300" i="103"/>
  <c r="G300" i="103"/>
  <c r="H300" i="103"/>
  <c r="I300" i="103"/>
  <c r="J300" i="103"/>
  <c r="K300" i="103"/>
  <c r="L300" i="103"/>
  <c r="M300" i="103"/>
  <c r="N300" i="103"/>
  <c r="D301" i="103"/>
  <c r="E301" i="103"/>
  <c r="F301" i="103"/>
  <c r="G301" i="103"/>
  <c r="H301" i="103"/>
  <c r="I301" i="103"/>
  <c r="J301" i="103"/>
  <c r="K301" i="103"/>
  <c r="L301" i="103"/>
  <c r="M301" i="103"/>
  <c r="N301" i="103"/>
  <c r="D302" i="103"/>
  <c r="E302" i="103"/>
  <c r="F302" i="103"/>
  <c r="G302" i="103"/>
  <c r="H302" i="103"/>
  <c r="I302" i="103"/>
  <c r="J302" i="103"/>
  <c r="K302" i="103"/>
  <c r="L302" i="103"/>
  <c r="M302" i="103"/>
  <c r="N302" i="103"/>
  <c r="D303" i="103"/>
  <c r="E303" i="103"/>
  <c r="F303" i="103"/>
  <c r="G303" i="103"/>
  <c r="H303" i="103"/>
  <c r="I303" i="103"/>
  <c r="J303" i="103"/>
  <c r="K303" i="103"/>
  <c r="L303" i="103"/>
  <c r="M303" i="103"/>
  <c r="N303" i="103"/>
  <c r="D304" i="103"/>
  <c r="E304" i="103"/>
  <c r="F304" i="103"/>
  <c r="G304" i="103"/>
  <c r="H304" i="103"/>
  <c r="I304" i="103"/>
  <c r="J304" i="103"/>
  <c r="K304" i="103"/>
  <c r="L304" i="103"/>
  <c r="M304" i="103"/>
  <c r="N304" i="103"/>
  <c r="D305" i="103"/>
  <c r="E305" i="103"/>
  <c r="F305" i="103"/>
  <c r="G305" i="103"/>
  <c r="H305" i="103"/>
  <c r="I305" i="103"/>
  <c r="J305" i="103"/>
  <c r="K305" i="103"/>
  <c r="L305" i="103"/>
  <c r="M305" i="103"/>
  <c r="N305" i="103"/>
  <c r="D306" i="103"/>
  <c r="E306" i="103"/>
  <c r="F306" i="103"/>
  <c r="G306" i="103"/>
  <c r="H306" i="103"/>
  <c r="I306" i="103"/>
  <c r="J306" i="103"/>
  <c r="K306" i="103"/>
  <c r="L306" i="103"/>
  <c r="M306" i="103"/>
  <c r="N306" i="103"/>
  <c r="E289" i="103"/>
  <c r="F289" i="103"/>
  <c r="G289" i="103"/>
  <c r="H289" i="103"/>
  <c r="I289" i="103"/>
  <c r="J289" i="103"/>
  <c r="K289" i="103"/>
  <c r="L289" i="103"/>
  <c r="M289" i="103"/>
  <c r="N289" i="103"/>
  <c r="D289" i="103"/>
  <c r="M194" i="103"/>
  <c r="M200" i="103"/>
  <c r="M197" i="103"/>
  <c r="M203" i="103"/>
  <c r="M195" i="103"/>
  <c r="M201" i="103"/>
  <c r="M205" i="103"/>
  <c r="M191" i="103"/>
  <c r="C192" i="103"/>
  <c r="D192" i="103"/>
  <c r="E192" i="103"/>
  <c r="F192" i="103"/>
  <c r="G192" i="103"/>
  <c r="H192" i="103"/>
  <c r="I192" i="103"/>
  <c r="J192" i="103"/>
  <c r="K192" i="103"/>
  <c r="L192" i="103"/>
  <c r="M192" i="103"/>
  <c r="C193" i="103"/>
  <c r="D193" i="103"/>
  <c r="E193" i="103"/>
  <c r="F193" i="103"/>
  <c r="G193" i="103"/>
  <c r="H193" i="103"/>
  <c r="I193" i="103"/>
  <c r="J193" i="103"/>
  <c r="K193" i="103"/>
  <c r="L193" i="103"/>
  <c r="C194" i="103"/>
  <c r="D194" i="103"/>
  <c r="E194" i="103"/>
  <c r="F194" i="103"/>
  <c r="G194" i="103"/>
  <c r="H194" i="103"/>
  <c r="I194" i="103"/>
  <c r="J194" i="103"/>
  <c r="K194" i="103"/>
  <c r="L194" i="103"/>
  <c r="C195" i="103"/>
  <c r="D195" i="103"/>
  <c r="E195" i="103"/>
  <c r="F195" i="103"/>
  <c r="G195" i="103"/>
  <c r="H195" i="103"/>
  <c r="I195" i="103"/>
  <c r="J195" i="103"/>
  <c r="K195" i="103"/>
  <c r="L195" i="103"/>
  <c r="C196" i="103"/>
  <c r="D196" i="103"/>
  <c r="E196" i="103"/>
  <c r="F196" i="103"/>
  <c r="G196" i="103"/>
  <c r="H196" i="103"/>
  <c r="I196" i="103"/>
  <c r="J196" i="103"/>
  <c r="K196" i="103"/>
  <c r="L196" i="103"/>
  <c r="M196" i="103"/>
  <c r="C197" i="103"/>
  <c r="D197" i="103"/>
  <c r="E197" i="103"/>
  <c r="F197" i="103"/>
  <c r="G197" i="103"/>
  <c r="H197" i="103"/>
  <c r="I197" i="103"/>
  <c r="J197" i="103"/>
  <c r="K197" i="103"/>
  <c r="L197" i="103"/>
  <c r="C198" i="103"/>
  <c r="D198" i="103"/>
  <c r="E198" i="103"/>
  <c r="F198" i="103"/>
  <c r="G198" i="103"/>
  <c r="H198" i="103"/>
  <c r="I198" i="103"/>
  <c r="J198" i="103"/>
  <c r="K198" i="103"/>
  <c r="L198" i="103"/>
  <c r="M198" i="103"/>
  <c r="C199" i="103"/>
  <c r="D199" i="103"/>
  <c r="E199" i="103"/>
  <c r="F199" i="103"/>
  <c r="G199" i="103"/>
  <c r="H199" i="103"/>
  <c r="I199" i="103"/>
  <c r="J199" i="103"/>
  <c r="K199" i="103"/>
  <c r="L199" i="103"/>
  <c r="M199" i="103"/>
  <c r="C200" i="103"/>
  <c r="D200" i="103"/>
  <c r="E200" i="103"/>
  <c r="F200" i="103"/>
  <c r="G200" i="103"/>
  <c r="H200" i="103"/>
  <c r="I200" i="103"/>
  <c r="J200" i="103"/>
  <c r="K200" i="103"/>
  <c r="L200" i="103"/>
  <c r="C201" i="103"/>
  <c r="D201" i="103"/>
  <c r="E201" i="103"/>
  <c r="F201" i="103"/>
  <c r="G201" i="103"/>
  <c r="H201" i="103"/>
  <c r="I201" i="103"/>
  <c r="J201" i="103"/>
  <c r="K201" i="103"/>
  <c r="L201" i="103"/>
  <c r="C202" i="103"/>
  <c r="D202" i="103"/>
  <c r="E202" i="103"/>
  <c r="F202" i="103"/>
  <c r="G202" i="103"/>
  <c r="H202" i="103"/>
  <c r="I202" i="103"/>
  <c r="J202" i="103"/>
  <c r="K202" i="103"/>
  <c r="L202" i="103"/>
  <c r="M202" i="103"/>
  <c r="C203" i="103"/>
  <c r="D203" i="103"/>
  <c r="E203" i="103"/>
  <c r="F203" i="103"/>
  <c r="G203" i="103"/>
  <c r="H203" i="103"/>
  <c r="I203" i="103"/>
  <c r="J203" i="103"/>
  <c r="K203" i="103"/>
  <c r="L203" i="103"/>
  <c r="C204" i="103"/>
  <c r="D204" i="103"/>
  <c r="E204" i="103"/>
  <c r="F204" i="103"/>
  <c r="G204" i="103"/>
  <c r="H204" i="103"/>
  <c r="I204" i="103"/>
  <c r="J204" i="103"/>
  <c r="K204" i="103"/>
  <c r="L204" i="103"/>
  <c r="M204" i="103"/>
  <c r="C205" i="103"/>
  <c r="D205" i="103"/>
  <c r="E205" i="103"/>
  <c r="F205" i="103"/>
  <c r="G205" i="103"/>
  <c r="H205" i="103"/>
  <c r="I205" i="103"/>
  <c r="J205" i="103"/>
  <c r="K205" i="103"/>
  <c r="L205" i="103"/>
  <c r="C206" i="103"/>
  <c r="D206" i="103"/>
  <c r="E206" i="103"/>
  <c r="F206" i="103"/>
  <c r="G206" i="103"/>
  <c r="H206" i="103"/>
  <c r="I206" i="103"/>
  <c r="J206" i="103"/>
  <c r="K206" i="103"/>
  <c r="L206" i="103"/>
  <c r="M206" i="103"/>
  <c r="C207" i="103"/>
  <c r="D207" i="103"/>
  <c r="E207" i="103"/>
  <c r="F207" i="103"/>
  <c r="G207" i="103"/>
  <c r="H207" i="103"/>
  <c r="I207" i="103"/>
  <c r="J207" i="103"/>
  <c r="K207" i="103"/>
  <c r="L207" i="103"/>
  <c r="M207" i="103"/>
  <c r="C208" i="103"/>
  <c r="D208" i="103"/>
  <c r="E208" i="103"/>
  <c r="F208" i="103"/>
  <c r="G208" i="103"/>
  <c r="H208" i="103"/>
  <c r="I208" i="103"/>
  <c r="J208" i="103"/>
  <c r="K208" i="103"/>
  <c r="L208" i="103"/>
  <c r="M208" i="103"/>
  <c r="E191" i="103"/>
  <c r="F191" i="103"/>
  <c r="G191" i="103"/>
  <c r="H191" i="103"/>
  <c r="I191" i="103"/>
  <c r="J191" i="103"/>
  <c r="K191" i="103"/>
  <c r="L191" i="103"/>
  <c r="C191" i="103"/>
  <c r="D191" i="103"/>
  <c r="M57" i="103"/>
  <c r="M70" i="103"/>
  <c r="M61" i="103"/>
  <c r="M67" i="103"/>
  <c r="M71" i="103"/>
  <c r="M64" i="103"/>
  <c r="C58" i="103"/>
  <c r="D58" i="103"/>
  <c r="E58" i="103"/>
  <c r="F58" i="103"/>
  <c r="G58" i="103"/>
  <c r="H58" i="103"/>
  <c r="I58" i="103"/>
  <c r="J58" i="103"/>
  <c r="K58" i="103"/>
  <c r="L58" i="103"/>
  <c r="C59" i="103"/>
  <c r="D59" i="103"/>
  <c r="E59" i="103"/>
  <c r="F59" i="103"/>
  <c r="G59" i="103"/>
  <c r="H59" i="103"/>
  <c r="I59" i="103"/>
  <c r="J59" i="103"/>
  <c r="K59" i="103"/>
  <c r="L59" i="103"/>
  <c r="M59" i="103"/>
  <c r="C60" i="103"/>
  <c r="D60" i="103"/>
  <c r="E60" i="103"/>
  <c r="F60" i="103"/>
  <c r="G60" i="103"/>
  <c r="H60" i="103"/>
  <c r="I60" i="103"/>
  <c r="J60" i="103"/>
  <c r="K60" i="103"/>
  <c r="L60" i="103"/>
  <c r="M60" i="103"/>
  <c r="C61" i="103"/>
  <c r="D61" i="103"/>
  <c r="E61" i="103"/>
  <c r="F61" i="103"/>
  <c r="G61" i="103"/>
  <c r="H61" i="103"/>
  <c r="I61" i="103"/>
  <c r="J61" i="103"/>
  <c r="K61" i="103"/>
  <c r="L61" i="103"/>
  <c r="C62" i="103"/>
  <c r="D62" i="103"/>
  <c r="E62" i="103"/>
  <c r="F62" i="103"/>
  <c r="G62" i="103"/>
  <c r="H62" i="103"/>
  <c r="I62" i="103"/>
  <c r="J62" i="103"/>
  <c r="K62" i="103"/>
  <c r="L62" i="103"/>
  <c r="M62" i="103"/>
  <c r="C63" i="103"/>
  <c r="D63" i="103"/>
  <c r="E63" i="103"/>
  <c r="F63" i="103"/>
  <c r="G63" i="103"/>
  <c r="H63" i="103"/>
  <c r="I63" i="103"/>
  <c r="J63" i="103"/>
  <c r="K63" i="103"/>
  <c r="L63" i="103"/>
  <c r="C64" i="103"/>
  <c r="D64" i="103"/>
  <c r="E64" i="103"/>
  <c r="F64" i="103"/>
  <c r="G64" i="103"/>
  <c r="H64" i="103"/>
  <c r="I64" i="103"/>
  <c r="J64" i="103"/>
  <c r="K64" i="103"/>
  <c r="L64" i="103"/>
  <c r="C65" i="103"/>
  <c r="D65" i="103"/>
  <c r="E65" i="103"/>
  <c r="F65" i="103"/>
  <c r="G65" i="103"/>
  <c r="H65" i="103"/>
  <c r="I65" i="103"/>
  <c r="J65" i="103"/>
  <c r="K65" i="103"/>
  <c r="L65" i="103"/>
  <c r="M65" i="103"/>
  <c r="C66" i="103"/>
  <c r="D66" i="103"/>
  <c r="E66" i="103"/>
  <c r="F66" i="103"/>
  <c r="G66" i="103"/>
  <c r="H66" i="103"/>
  <c r="I66" i="103"/>
  <c r="J66" i="103"/>
  <c r="K66" i="103"/>
  <c r="L66" i="103"/>
  <c r="M66" i="103"/>
  <c r="C67" i="103"/>
  <c r="D67" i="103"/>
  <c r="E67" i="103"/>
  <c r="F67" i="103"/>
  <c r="G67" i="103"/>
  <c r="H67" i="103"/>
  <c r="I67" i="103"/>
  <c r="J67" i="103"/>
  <c r="K67" i="103"/>
  <c r="L67" i="103"/>
  <c r="C68" i="103"/>
  <c r="D68" i="103"/>
  <c r="E68" i="103"/>
  <c r="F68" i="103"/>
  <c r="G68" i="103"/>
  <c r="H68" i="103"/>
  <c r="I68" i="103"/>
  <c r="J68" i="103"/>
  <c r="K68" i="103"/>
  <c r="L68" i="103"/>
  <c r="M68" i="103"/>
  <c r="C69" i="103"/>
  <c r="D69" i="103"/>
  <c r="E69" i="103"/>
  <c r="F69" i="103"/>
  <c r="G69" i="103"/>
  <c r="H69" i="103"/>
  <c r="I69" i="103"/>
  <c r="J69" i="103"/>
  <c r="K69" i="103"/>
  <c r="L69" i="103"/>
  <c r="M69" i="103"/>
  <c r="C70" i="103"/>
  <c r="D70" i="103"/>
  <c r="E70" i="103"/>
  <c r="F70" i="103"/>
  <c r="G70" i="103"/>
  <c r="H70" i="103"/>
  <c r="I70" i="103"/>
  <c r="J70" i="103"/>
  <c r="K70" i="103"/>
  <c r="L70" i="103"/>
  <c r="C71" i="103"/>
  <c r="D71" i="103"/>
  <c r="E71" i="103"/>
  <c r="F71" i="103"/>
  <c r="G71" i="103"/>
  <c r="H71" i="103"/>
  <c r="I71" i="103"/>
  <c r="J71" i="103"/>
  <c r="K71" i="103"/>
  <c r="L71" i="103"/>
  <c r="C72" i="103"/>
  <c r="D72" i="103"/>
  <c r="E72" i="103"/>
  <c r="F72" i="103"/>
  <c r="G72" i="103"/>
  <c r="H72" i="103"/>
  <c r="I72" i="103"/>
  <c r="J72" i="103"/>
  <c r="K72" i="103"/>
  <c r="L72" i="103"/>
  <c r="M72" i="103"/>
  <c r="C73" i="103"/>
  <c r="D73" i="103"/>
  <c r="E73" i="103"/>
  <c r="F73" i="103"/>
  <c r="G73" i="103"/>
  <c r="H73" i="103"/>
  <c r="I73" i="103"/>
  <c r="J73" i="103"/>
  <c r="K73" i="103"/>
  <c r="L73" i="103"/>
  <c r="M73" i="103"/>
  <c r="C74" i="103"/>
  <c r="D74" i="103"/>
  <c r="E74" i="103"/>
  <c r="F74" i="103"/>
  <c r="G74" i="103"/>
  <c r="H74" i="103"/>
  <c r="I74" i="103"/>
  <c r="J74" i="103"/>
  <c r="K74" i="103"/>
  <c r="L74" i="103"/>
  <c r="M74" i="103"/>
  <c r="D57" i="103"/>
  <c r="E57" i="103"/>
  <c r="F57" i="103"/>
  <c r="G57" i="103"/>
  <c r="H57" i="103"/>
  <c r="I57" i="103"/>
  <c r="J57" i="103"/>
  <c r="K57" i="103"/>
  <c r="L57" i="103"/>
  <c r="C57" i="103"/>
  <c r="N306" i="99"/>
  <c r="D290" i="99"/>
  <c r="E290" i="99"/>
  <c r="F290" i="99"/>
  <c r="G290" i="99"/>
  <c r="H290" i="99"/>
  <c r="I290" i="99"/>
  <c r="J290" i="99"/>
  <c r="K290" i="99"/>
  <c r="L290" i="99"/>
  <c r="M290" i="99"/>
  <c r="N290" i="99"/>
  <c r="D291" i="99"/>
  <c r="E291" i="99"/>
  <c r="F291" i="99"/>
  <c r="G291" i="99"/>
  <c r="H291" i="99"/>
  <c r="I291" i="99"/>
  <c r="J291" i="99"/>
  <c r="K291" i="99"/>
  <c r="L291" i="99"/>
  <c r="M291" i="99"/>
  <c r="N291" i="99"/>
  <c r="D292" i="99"/>
  <c r="E292" i="99"/>
  <c r="F292" i="99"/>
  <c r="G292" i="99"/>
  <c r="H292" i="99"/>
  <c r="I292" i="99"/>
  <c r="J292" i="99"/>
  <c r="K292" i="99"/>
  <c r="L292" i="99"/>
  <c r="M292" i="99"/>
  <c r="N292" i="99"/>
  <c r="D293" i="99"/>
  <c r="E293" i="99"/>
  <c r="F293" i="99"/>
  <c r="G293" i="99"/>
  <c r="H293" i="99"/>
  <c r="I293" i="99"/>
  <c r="J293" i="99"/>
  <c r="K293" i="99"/>
  <c r="L293" i="99"/>
  <c r="M293" i="99"/>
  <c r="N293" i="99"/>
  <c r="D294" i="99"/>
  <c r="E294" i="99"/>
  <c r="F294" i="99"/>
  <c r="G294" i="99"/>
  <c r="H294" i="99"/>
  <c r="I294" i="99"/>
  <c r="J294" i="99"/>
  <c r="K294" i="99"/>
  <c r="L294" i="99"/>
  <c r="M294" i="99"/>
  <c r="N294" i="99"/>
  <c r="D295" i="99"/>
  <c r="E295" i="99"/>
  <c r="F295" i="99"/>
  <c r="G295" i="99"/>
  <c r="H295" i="99"/>
  <c r="I295" i="99"/>
  <c r="J295" i="99"/>
  <c r="K295" i="99"/>
  <c r="L295" i="99"/>
  <c r="M295" i="99"/>
  <c r="N295" i="99"/>
  <c r="D296" i="99"/>
  <c r="E296" i="99"/>
  <c r="F296" i="99"/>
  <c r="G296" i="99"/>
  <c r="H296" i="99"/>
  <c r="I296" i="99"/>
  <c r="J296" i="99"/>
  <c r="K296" i="99"/>
  <c r="L296" i="99"/>
  <c r="M296" i="99"/>
  <c r="N296" i="99"/>
  <c r="D297" i="99"/>
  <c r="E297" i="99"/>
  <c r="F297" i="99"/>
  <c r="G297" i="99"/>
  <c r="H297" i="99"/>
  <c r="I297" i="99"/>
  <c r="J297" i="99"/>
  <c r="K297" i="99"/>
  <c r="L297" i="99"/>
  <c r="M297" i="99"/>
  <c r="N297" i="99"/>
  <c r="D298" i="99"/>
  <c r="E298" i="99"/>
  <c r="F298" i="99"/>
  <c r="G298" i="99"/>
  <c r="H298" i="99"/>
  <c r="I298" i="99"/>
  <c r="J298" i="99"/>
  <c r="K298" i="99"/>
  <c r="L298" i="99"/>
  <c r="M298" i="99"/>
  <c r="N298" i="99"/>
  <c r="D299" i="99"/>
  <c r="E299" i="99"/>
  <c r="F299" i="99"/>
  <c r="G299" i="99"/>
  <c r="H299" i="99"/>
  <c r="I299" i="99"/>
  <c r="J299" i="99"/>
  <c r="K299" i="99"/>
  <c r="L299" i="99"/>
  <c r="M299" i="99"/>
  <c r="N299" i="99"/>
  <c r="D300" i="99"/>
  <c r="E300" i="99"/>
  <c r="F300" i="99"/>
  <c r="G300" i="99"/>
  <c r="H300" i="99"/>
  <c r="I300" i="99"/>
  <c r="J300" i="99"/>
  <c r="K300" i="99"/>
  <c r="L300" i="99"/>
  <c r="M300" i="99"/>
  <c r="N300" i="99"/>
  <c r="D301" i="99"/>
  <c r="E301" i="99"/>
  <c r="F301" i="99"/>
  <c r="G301" i="99"/>
  <c r="H301" i="99"/>
  <c r="I301" i="99"/>
  <c r="J301" i="99"/>
  <c r="K301" i="99"/>
  <c r="L301" i="99"/>
  <c r="M301" i="99"/>
  <c r="N301" i="99"/>
  <c r="D302" i="99"/>
  <c r="E302" i="99"/>
  <c r="F302" i="99"/>
  <c r="G302" i="99"/>
  <c r="H302" i="99"/>
  <c r="I302" i="99"/>
  <c r="J302" i="99"/>
  <c r="K302" i="99"/>
  <c r="L302" i="99"/>
  <c r="M302" i="99"/>
  <c r="N302" i="99"/>
  <c r="D303" i="99"/>
  <c r="E303" i="99"/>
  <c r="F303" i="99"/>
  <c r="G303" i="99"/>
  <c r="H303" i="99"/>
  <c r="I303" i="99"/>
  <c r="J303" i="99"/>
  <c r="K303" i="99"/>
  <c r="L303" i="99"/>
  <c r="M303" i="99"/>
  <c r="N303" i="99"/>
  <c r="D304" i="99"/>
  <c r="E304" i="99"/>
  <c r="F304" i="99"/>
  <c r="G304" i="99"/>
  <c r="H304" i="99"/>
  <c r="I304" i="99"/>
  <c r="J304" i="99"/>
  <c r="K304" i="99"/>
  <c r="L304" i="99"/>
  <c r="M304" i="99"/>
  <c r="N304" i="99"/>
  <c r="D305" i="99"/>
  <c r="E305" i="99"/>
  <c r="F305" i="99"/>
  <c r="G305" i="99"/>
  <c r="H305" i="99"/>
  <c r="I305" i="99"/>
  <c r="J305" i="99"/>
  <c r="K305" i="99"/>
  <c r="L305" i="99"/>
  <c r="M305" i="99"/>
  <c r="N305" i="99"/>
  <c r="D306" i="99"/>
  <c r="E306" i="99"/>
  <c r="F306" i="99"/>
  <c r="G306" i="99"/>
  <c r="H306" i="99"/>
  <c r="I306" i="99"/>
  <c r="J306" i="99"/>
  <c r="K306" i="99"/>
  <c r="L306" i="99"/>
  <c r="M306" i="99"/>
  <c r="E289" i="99"/>
  <c r="F289" i="99"/>
  <c r="G289" i="99"/>
  <c r="H289" i="99"/>
  <c r="I289" i="99"/>
  <c r="J289" i="99"/>
  <c r="K289" i="99"/>
  <c r="L289" i="99"/>
  <c r="M289" i="99"/>
  <c r="N289" i="99"/>
  <c r="D289" i="99"/>
  <c r="M196" i="99"/>
  <c r="M197" i="99"/>
  <c r="M198" i="99"/>
  <c r="M201" i="99"/>
  <c r="M202" i="99"/>
  <c r="M193" i="99"/>
  <c r="M205" i="99"/>
  <c r="C192" i="99"/>
  <c r="D192" i="99"/>
  <c r="E192" i="99"/>
  <c r="F192" i="99"/>
  <c r="G192" i="99"/>
  <c r="H192" i="99"/>
  <c r="I192" i="99"/>
  <c r="J192" i="99"/>
  <c r="K192" i="99"/>
  <c r="L192" i="99"/>
  <c r="M192" i="99"/>
  <c r="C193" i="99"/>
  <c r="D193" i="99"/>
  <c r="E193" i="99"/>
  <c r="F193" i="99"/>
  <c r="G193" i="99"/>
  <c r="H193" i="99"/>
  <c r="I193" i="99"/>
  <c r="J193" i="99"/>
  <c r="K193" i="99"/>
  <c r="L193" i="99"/>
  <c r="C194" i="99"/>
  <c r="D194" i="99"/>
  <c r="E194" i="99"/>
  <c r="F194" i="99"/>
  <c r="G194" i="99"/>
  <c r="H194" i="99"/>
  <c r="I194" i="99"/>
  <c r="J194" i="99"/>
  <c r="K194" i="99"/>
  <c r="L194" i="99"/>
  <c r="M194" i="99"/>
  <c r="C195" i="99"/>
  <c r="D195" i="99"/>
  <c r="E195" i="99"/>
  <c r="F195" i="99"/>
  <c r="G195" i="99"/>
  <c r="H195" i="99"/>
  <c r="I195" i="99"/>
  <c r="J195" i="99"/>
  <c r="K195" i="99"/>
  <c r="L195" i="99"/>
  <c r="M195" i="99"/>
  <c r="C196" i="99"/>
  <c r="D196" i="99"/>
  <c r="E196" i="99"/>
  <c r="F196" i="99"/>
  <c r="G196" i="99"/>
  <c r="H196" i="99"/>
  <c r="I196" i="99"/>
  <c r="J196" i="99"/>
  <c r="K196" i="99"/>
  <c r="L196" i="99"/>
  <c r="C197" i="99"/>
  <c r="D197" i="99"/>
  <c r="E197" i="99"/>
  <c r="F197" i="99"/>
  <c r="G197" i="99"/>
  <c r="H197" i="99"/>
  <c r="I197" i="99"/>
  <c r="J197" i="99"/>
  <c r="K197" i="99"/>
  <c r="L197" i="99"/>
  <c r="C198" i="99"/>
  <c r="D198" i="99"/>
  <c r="E198" i="99"/>
  <c r="F198" i="99"/>
  <c r="G198" i="99"/>
  <c r="H198" i="99"/>
  <c r="I198" i="99"/>
  <c r="J198" i="99"/>
  <c r="K198" i="99"/>
  <c r="L198" i="99"/>
  <c r="C199" i="99"/>
  <c r="D199" i="99"/>
  <c r="E199" i="99"/>
  <c r="F199" i="99"/>
  <c r="G199" i="99"/>
  <c r="H199" i="99"/>
  <c r="I199" i="99"/>
  <c r="J199" i="99"/>
  <c r="K199" i="99"/>
  <c r="L199" i="99"/>
  <c r="M199" i="99"/>
  <c r="C200" i="99"/>
  <c r="D200" i="99"/>
  <c r="E200" i="99"/>
  <c r="F200" i="99"/>
  <c r="G200" i="99"/>
  <c r="H200" i="99"/>
  <c r="I200" i="99"/>
  <c r="J200" i="99"/>
  <c r="K200" i="99"/>
  <c r="L200" i="99"/>
  <c r="M200" i="99"/>
  <c r="C201" i="99"/>
  <c r="D201" i="99"/>
  <c r="E201" i="99"/>
  <c r="F201" i="99"/>
  <c r="G201" i="99"/>
  <c r="H201" i="99"/>
  <c r="I201" i="99"/>
  <c r="J201" i="99"/>
  <c r="K201" i="99"/>
  <c r="L201" i="99"/>
  <c r="C202" i="99"/>
  <c r="D202" i="99"/>
  <c r="E202" i="99"/>
  <c r="F202" i="99"/>
  <c r="G202" i="99"/>
  <c r="H202" i="99"/>
  <c r="I202" i="99"/>
  <c r="J202" i="99"/>
  <c r="K202" i="99"/>
  <c r="L202" i="99"/>
  <c r="C203" i="99"/>
  <c r="D203" i="99"/>
  <c r="E203" i="99"/>
  <c r="F203" i="99"/>
  <c r="G203" i="99"/>
  <c r="H203" i="99"/>
  <c r="I203" i="99"/>
  <c r="J203" i="99"/>
  <c r="K203" i="99"/>
  <c r="L203" i="99"/>
  <c r="M203" i="99"/>
  <c r="C204" i="99"/>
  <c r="D204" i="99"/>
  <c r="E204" i="99"/>
  <c r="F204" i="99"/>
  <c r="G204" i="99"/>
  <c r="H204" i="99"/>
  <c r="I204" i="99"/>
  <c r="J204" i="99"/>
  <c r="K204" i="99"/>
  <c r="L204" i="99"/>
  <c r="M204" i="99"/>
  <c r="C205" i="99"/>
  <c r="D205" i="99"/>
  <c r="E205" i="99"/>
  <c r="F205" i="99"/>
  <c r="G205" i="99"/>
  <c r="H205" i="99"/>
  <c r="I205" i="99"/>
  <c r="J205" i="99"/>
  <c r="K205" i="99"/>
  <c r="L205" i="99"/>
  <c r="C206" i="99"/>
  <c r="D206" i="99"/>
  <c r="E206" i="99"/>
  <c r="F206" i="99"/>
  <c r="G206" i="99"/>
  <c r="H206" i="99"/>
  <c r="I206" i="99"/>
  <c r="J206" i="99"/>
  <c r="K206" i="99"/>
  <c r="L206" i="99"/>
  <c r="M206" i="99"/>
  <c r="C207" i="99"/>
  <c r="D207" i="99"/>
  <c r="E207" i="99"/>
  <c r="F207" i="99"/>
  <c r="G207" i="99"/>
  <c r="H207" i="99"/>
  <c r="I207" i="99"/>
  <c r="J207" i="99"/>
  <c r="K207" i="99"/>
  <c r="L207" i="99"/>
  <c r="M207" i="99"/>
  <c r="C208" i="99"/>
  <c r="D208" i="99"/>
  <c r="E208" i="99"/>
  <c r="F208" i="99"/>
  <c r="G208" i="99"/>
  <c r="H208" i="99"/>
  <c r="I208" i="99"/>
  <c r="J208" i="99"/>
  <c r="K208" i="99"/>
  <c r="L208" i="99"/>
  <c r="M208" i="99"/>
  <c r="D191" i="99"/>
  <c r="E191" i="99"/>
  <c r="F191" i="99"/>
  <c r="G191" i="99"/>
  <c r="H191" i="99"/>
  <c r="I191" i="99"/>
  <c r="J191" i="99"/>
  <c r="K191" i="99"/>
  <c r="L191" i="99"/>
  <c r="M191" i="99"/>
  <c r="C191" i="99"/>
  <c r="M46" i="99"/>
  <c r="M27" i="99"/>
  <c r="P286" i="103" l="1"/>
  <c r="M193" i="103"/>
  <c r="M58" i="103"/>
  <c r="M63" i="103"/>
  <c r="G76" i="99"/>
  <c r="F76" i="99"/>
  <c r="E76" i="99"/>
  <c r="D76" i="99"/>
  <c r="C76" i="99"/>
  <c r="F75" i="99"/>
  <c r="E75" i="99"/>
  <c r="D75" i="99"/>
  <c r="C75" i="99"/>
  <c r="F74" i="99"/>
  <c r="E74" i="99"/>
  <c r="D74" i="99"/>
  <c r="C74" i="99"/>
  <c r="F73" i="99"/>
  <c r="E73" i="99"/>
  <c r="D73" i="99"/>
  <c r="C73" i="99"/>
  <c r="F72" i="99"/>
  <c r="E72" i="99"/>
  <c r="D72" i="99"/>
  <c r="C72" i="99"/>
  <c r="F71" i="99"/>
  <c r="E71" i="99"/>
  <c r="D71" i="99"/>
  <c r="C71" i="99"/>
  <c r="F70" i="99"/>
  <c r="E70" i="99"/>
  <c r="D70" i="99"/>
  <c r="C70" i="99"/>
  <c r="F69" i="99"/>
  <c r="E69" i="99"/>
  <c r="D69" i="99"/>
  <c r="C69" i="99"/>
  <c r="F68" i="99"/>
  <c r="E68" i="99"/>
  <c r="D68" i="99"/>
  <c r="C68" i="99"/>
  <c r="F67" i="99"/>
  <c r="E67" i="99"/>
  <c r="D67" i="99"/>
  <c r="C67" i="99"/>
  <c r="F66" i="99"/>
  <c r="E66" i="99"/>
  <c r="D66" i="99"/>
  <c r="C66" i="99"/>
  <c r="F65" i="99"/>
  <c r="E65" i="99"/>
  <c r="D65" i="99"/>
  <c r="C65" i="99"/>
  <c r="F64" i="99"/>
  <c r="E64" i="99"/>
  <c r="D64" i="99"/>
  <c r="C64" i="99"/>
  <c r="F63" i="99"/>
  <c r="E63" i="99"/>
  <c r="D63" i="99"/>
  <c r="C63" i="99"/>
  <c r="F62" i="99"/>
  <c r="E62" i="99"/>
  <c r="D62" i="99"/>
  <c r="C62" i="99"/>
  <c r="F61" i="99"/>
  <c r="E61" i="99"/>
  <c r="D61" i="99"/>
  <c r="C61" i="99"/>
  <c r="F60" i="99"/>
  <c r="E60" i="99"/>
  <c r="D60" i="99"/>
  <c r="C60" i="99"/>
  <c r="F59" i="99"/>
  <c r="E59" i="99"/>
  <c r="D59" i="99"/>
  <c r="C59" i="99"/>
  <c r="F58" i="99"/>
  <c r="E58" i="99"/>
  <c r="D58" i="99"/>
  <c r="C58" i="99"/>
  <c r="F57" i="99"/>
  <c r="E57" i="99"/>
  <c r="D57" i="99"/>
  <c r="C57" i="99"/>
  <c r="L75" i="99" l="1"/>
  <c r="K75" i="99"/>
  <c r="J75" i="99"/>
  <c r="I75" i="99"/>
  <c r="G75" i="99"/>
  <c r="M69" i="99"/>
  <c r="L69" i="99"/>
  <c r="K69" i="99"/>
  <c r="J69" i="99"/>
  <c r="I69" i="99"/>
  <c r="H69" i="99"/>
  <c r="G69" i="99"/>
  <c r="M68" i="99"/>
  <c r="L68" i="99"/>
  <c r="K68" i="99"/>
  <c r="J68" i="99"/>
  <c r="I68" i="99"/>
  <c r="H68" i="99"/>
  <c r="G68" i="99"/>
  <c r="M67" i="99"/>
  <c r="L67" i="99"/>
  <c r="J67" i="99"/>
  <c r="I67" i="99"/>
  <c r="H67" i="99"/>
  <c r="G67" i="99"/>
  <c r="M66" i="99"/>
  <c r="L66" i="99"/>
  <c r="K66" i="99"/>
  <c r="J66" i="99"/>
  <c r="I66" i="99"/>
  <c r="H66" i="99"/>
  <c r="G66" i="99"/>
  <c r="M65" i="99"/>
  <c r="L65" i="99"/>
  <c r="K65" i="99"/>
  <c r="J65" i="99"/>
  <c r="I65" i="99"/>
  <c r="H65" i="99"/>
  <c r="G65" i="99"/>
  <c r="M64" i="99"/>
  <c r="L64" i="99"/>
  <c r="K64" i="99"/>
  <c r="J64" i="99"/>
  <c r="I64" i="99"/>
  <c r="H64" i="99"/>
  <c r="G64" i="99"/>
  <c r="M63" i="99"/>
  <c r="L63" i="99"/>
  <c r="I63" i="99"/>
  <c r="H63" i="99"/>
  <c r="G63" i="99"/>
  <c r="M62" i="99"/>
  <c r="L62" i="99"/>
  <c r="K62" i="99"/>
  <c r="J62" i="99"/>
  <c r="I62" i="99"/>
  <c r="H62" i="99"/>
  <c r="G62" i="99"/>
  <c r="M61" i="99"/>
  <c r="L61" i="99"/>
  <c r="K61" i="99"/>
  <c r="J61" i="99"/>
  <c r="I61" i="99"/>
  <c r="H61" i="99"/>
  <c r="G61" i="99"/>
  <c r="M60" i="99"/>
  <c r="L60" i="99"/>
  <c r="K60" i="99"/>
  <c r="J60" i="99"/>
  <c r="I60" i="99"/>
  <c r="H60" i="99"/>
  <c r="G60" i="99"/>
  <c r="M59" i="99"/>
  <c r="L59" i="99"/>
  <c r="K59" i="99"/>
  <c r="I59" i="99"/>
  <c r="H59" i="99"/>
  <c r="G59" i="99"/>
  <c r="M58" i="99"/>
  <c r="L58" i="99"/>
  <c r="K58" i="99"/>
  <c r="J58" i="99"/>
  <c r="I58" i="99"/>
  <c r="H58" i="99"/>
  <c r="G58" i="99"/>
  <c r="M57" i="99"/>
  <c r="L57" i="99"/>
  <c r="K57" i="99"/>
  <c r="J57" i="99"/>
  <c r="I57" i="99"/>
  <c r="H57" i="99"/>
  <c r="G57" i="99"/>
  <c r="L27" i="99"/>
  <c r="K27" i="99"/>
  <c r="J27" i="99"/>
  <c r="I27" i="99"/>
  <c r="H27" i="99"/>
  <c r="G27" i="99"/>
  <c r="F27" i="99"/>
  <c r="E27" i="99"/>
  <c r="D27" i="99"/>
  <c r="C27" i="99"/>
  <c r="P286" i="99" l="1"/>
  <c r="J70" i="99"/>
  <c r="J59" i="99"/>
  <c r="K63" i="99"/>
  <c r="J63" i="99"/>
  <c r="L70" i="99"/>
  <c r="K70" i="99"/>
  <c r="G74" i="99"/>
  <c r="K67" i="99"/>
  <c r="H75" i="99"/>
  <c r="I70" i="99"/>
  <c r="P286" i="37" l="1"/>
  <c r="I76" i="99"/>
  <c r="G72" i="99"/>
  <c r="G73" i="99"/>
  <c r="G71" i="99"/>
  <c r="H70" i="99"/>
  <c r="J71" i="99"/>
  <c r="H72" i="99"/>
  <c r="L72" i="99"/>
  <c r="J73" i="99"/>
  <c r="H74" i="99"/>
  <c r="L74" i="99"/>
  <c r="G70" i="99"/>
  <c r="K71" i="99"/>
  <c r="K72" i="99"/>
  <c r="K73" i="99"/>
  <c r="K74" i="99"/>
  <c r="J76" i="99"/>
  <c r="H71" i="99"/>
  <c r="L71" i="99"/>
  <c r="J72" i="99"/>
  <c r="H73" i="99"/>
  <c r="L73" i="99"/>
  <c r="J74" i="99"/>
  <c r="I71" i="99"/>
  <c r="I72" i="99"/>
  <c r="I73" i="99"/>
  <c r="I74" i="99"/>
  <c r="H76" i="99"/>
  <c r="K76" i="99"/>
  <c r="L76" i="99"/>
  <c r="M70" i="99" l="1"/>
  <c r="M76" i="99"/>
  <c r="M71" i="99"/>
  <c r="M74" i="99"/>
  <c r="M72" i="99"/>
  <c r="M75" i="99"/>
  <c r="M73" i="99"/>
</calcChain>
</file>

<file path=xl/sharedStrings.xml><?xml version="1.0" encoding="utf-8"?>
<sst xmlns="http://schemas.openxmlformats.org/spreadsheetml/2006/main" count="2115" uniqueCount="195">
  <si>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</si>
  <si>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</si>
  <si>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</si>
  <si>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</si>
  <si>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</si>
  <si>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</si>
  <si>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</si>
  <si>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</si>
  <si>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</si>
  <si>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Belgium</t>
  </si>
  <si>
    <t>Bulgaria</t>
  </si>
  <si>
    <t>Czech Republic</t>
  </si>
  <si>
    <t>Denmark</t>
  </si>
  <si>
    <t>Estonia</t>
  </si>
  <si>
    <t>Ireland</t>
  </si>
  <si>
    <t>Greece</t>
  </si>
  <si>
    <t>Spain</t>
  </si>
  <si>
    <t>France</t>
  </si>
  <si>
    <t>Italy</t>
  </si>
  <si>
    <t>Cyprus</t>
  </si>
  <si>
    <t>Latvia</t>
  </si>
  <si>
    <t>Lithuania</t>
  </si>
  <si>
    <t>Luxembourg</t>
  </si>
  <si>
    <t>Hungary</t>
  </si>
  <si>
    <t>Malta</t>
  </si>
  <si>
    <t>Netherlands</t>
  </si>
  <si>
    <t>Austria</t>
  </si>
  <si>
    <t>Poland</t>
  </si>
  <si>
    <t>Portugal</t>
  </si>
  <si>
    <t>Romania</t>
  </si>
  <si>
    <t>Slovenia</t>
  </si>
  <si>
    <t>Slovakia</t>
  </si>
  <si>
    <t>Finland</t>
  </si>
  <si>
    <t>Sweden</t>
  </si>
  <si>
    <t>United Kingdom</t>
  </si>
  <si>
    <t>Croatia</t>
  </si>
  <si>
    <t>AT</t>
  </si>
  <si>
    <t>BE</t>
  </si>
  <si>
    <t>BG</t>
  </si>
  <si>
    <t>CY</t>
  </si>
  <si>
    <t>CZ</t>
  </si>
  <si>
    <t>DK</t>
  </si>
  <si>
    <t>EE</t>
  </si>
  <si>
    <t>FI</t>
  </si>
  <si>
    <t>FR</t>
  </si>
  <si>
    <t>DE</t>
  </si>
  <si>
    <t>Germany</t>
  </si>
  <si>
    <t>EL</t>
  </si>
  <si>
    <t>HU</t>
  </si>
  <si>
    <t>IE</t>
  </si>
  <si>
    <t>IT</t>
  </si>
  <si>
    <t>LV</t>
  </si>
  <si>
    <t>LT</t>
  </si>
  <si>
    <t>LU</t>
  </si>
  <si>
    <t>MT</t>
  </si>
  <si>
    <t>NL</t>
  </si>
  <si>
    <t>PL</t>
  </si>
  <si>
    <t>PT</t>
  </si>
  <si>
    <t>RO</t>
  </si>
  <si>
    <t>SK</t>
  </si>
  <si>
    <t>SI</t>
  </si>
  <si>
    <t>ES</t>
  </si>
  <si>
    <t>SE</t>
  </si>
  <si>
    <t>UK</t>
  </si>
  <si>
    <t>EU25</t>
  </si>
  <si>
    <t>EU27</t>
  </si>
  <si>
    <t>NO</t>
  </si>
  <si>
    <t>Norway</t>
  </si>
  <si>
    <t>CH</t>
  </si>
  <si>
    <t>Switzerland</t>
  </si>
  <si>
    <t>HR</t>
  </si>
  <si>
    <t>Former Yugoslave Republic of Macedonia</t>
  </si>
  <si>
    <t>IS</t>
  </si>
  <si>
    <t>Iceland</t>
  </si>
  <si>
    <t>TR</t>
  </si>
  <si>
    <t>Turkey</t>
  </si>
  <si>
    <t>Albania</t>
  </si>
  <si>
    <t>Bosnia and Herzegovina</t>
  </si>
  <si>
    <t>KS</t>
  </si>
  <si>
    <t>Kosovo under UN Security Council Resolution 1244</t>
  </si>
  <si>
    <t>ME</t>
  </si>
  <si>
    <t>Montenegro</t>
  </si>
  <si>
    <t>Serbia</t>
  </si>
  <si>
    <t>36-47</t>
  </si>
  <si>
    <t>48-59</t>
  </si>
  <si>
    <t>60-71</t>
  </si>
  <si>
    <t>72-83</t>
  </si>
  <si>
    <t>84-95</t>
  </si>
  <si>
    <t>96-107</t>
  </si>
  <si>
    <t>108-119</t>
  </si>
  <si>
    <t>120-131</t>
  </si>
  <si>
    <t>132-143</t>
  </si>
  <si>
    <t>144-155</t>
  </si>
  <si>
    <t>180-191</t>
  </si>
  <si>
    <t>&gt;155</t>
  </si>
  <si>
    <t>156-167</t>
  </si>
  <si>
    <t>168-179</t>
  </si>
  <si>
    <t>192-203</t>
  </si>
  <si>
    <t>24-29</t>
  </si>
  <si>
    <t>30-35</t>
  </si>
  <si>
    <t>Total</t>
  </si>
  <si>
    <t>Assumption</t>
  </si>
  <si>
    <t>0-23</t>
  </si>
  <si>
    <t>Number tested</t>
  </si>
  <si>
    <t>Complete</t>
  </si>
  <si>
    <t>No number tested for any year (start date 2004)</t>
  </si>
  <si>
    <t>MK</t>
  </si>
  <si>
    <t>AL</t>
  </si>
  <si>
    <t>BA</t>
  </si>
  <si>
    <t>RS</t>
  </si>
  <si>
    <t>Group</t>
  </si>
  <si>
    <t>Acronym</t>
  </si>
  <si>
    <t>Name</t>
  </si>
  <si>
    <t>No data</t>
  </si>
  <si>
    <t>No case data</t>
  </si>
  <si>
    <t>Number Dead</t>
  </si>
  <si>
    <t>EU 17</t>
  </si>
  <si>
    <t>EU 8</t>
  </si>
  <si>
    <t>EU15 plus Cypus and Slovenia</t>
  </si>
  <si>
    <t>Start date 2003</t>
  </si>
  <si>
    <t>Missing 2003 (start date 2003)</t>
  </si>
  <si>
    <t>&gt;48</t>
  </si>
  <si>
    <t>&gt;24</t>
  </si>
  <si>
    <t>July&gt;72</t>
  </si>
  <si>
    <t>&gt;30</t>
  </si>
  <si>
    <t>EU17</t>
  </si>
  <si>
    <t>EU8</t>
  </si>
  <si>
    <t>Prevalence est.</t>
  </si>
  <si>
    <t>Czech Republic, Poland, Slovakia, Estonia, Hungary, Latvia, Lithuania and Malta</t>
  </si>
  <si>
    <t xml:space="preserve">This workbook contains the master dataset for each country which are used as input files for the model. </t>
  </si>
  <si>
    <t>Each country is presented on a separate worksheet denotes by country acronym.</t>
  </si>
  <si>
    <t>The register by country of data is presented below.</t>
  </si>
  <si>
    <t>Those countries highlighted in green have sufficient data to be run within the model.</t>
  </si>
  <si>
    <t>If country specific data has been amended on one of the worksheets</t>
  </si>
  <si>
    <t>click this button to automatically update the read in files for the model.</t>
  </si>
  <si>
    <t>DO NOT ADD CELLS WITHIN WORKSHEETS - Macros use hard coded cell references to copy files from this workbook.</t>
  </si>
  <si>
    <t>204-</t>
  </si>
  <si>
    <t>OO</t>
  </si>
  <si>
    <t>Blank</t>
  </si>
  <si>
    <t>T1. Number born</t>
  </si>
  <si>
    <t>Born</t>
  </si>
  <si>
    <t>0-11</t>
  </si>
  <si>
    <t>12-23</t>
  </si>
  <si>
    <t>24-36</t>
  </si>
  <si>
    <t>&gt; 204</t>
  </si>
  <si>
    <t>Standing Pop</t>
  </si>
  <si>
    <t>T2.Number alive (standing population)</t>
  </si>
  <si>
    <t>T3.Number tested (totals)</t>
  </si>
  <si>
    <t>T3a.Number tested (HS)</t>
  </si>
  <si>
    <t>T3b.Number tested (ES)</t>
  </si>
  <si>
    <t>T3c.Number tested (FS)</t>
  </si>
  <si>
    <t>T3d. Number tested (CS) and T4d. Total dead (CS)</t>
  </si>
  <si>
    <t>T4.Number dead (totals)</t>
  </si>
  <si>
    <t>T4a.Number dead (HS)</t>
  </si>
  <si>
    <t>T4b.Number dead (ES)</t>
  </si>
  <si>
    <t>T4c.Number dead (FS)</t>
  </si>
  <si>
    <t>T5. Total Test positive</t>
  </si>
  <si>
    <t>HS, C</t>
  </si>
  <si>
    <t>Stream, strain</t>
  </si>
  <si>
    <t>HS, H</t>
  </si>
  <si>
    <t>HS, L</t>
  </si>
  <si>
    <t>HS, UNK</t>
  </si>
  <si>
    <t>ES, C</t>
  </si>
  <si>
    <t>ES, H</t>
  </si>
  <si>
    <t>ES, L</t>
  </si>
  <si>
    <t>ES, UNK</t>
  </si>
  <si>
    <t>FS, C</t>
  </si>
  <si>
    <t>FS, H</t>
  </si>
  <si>
    <t>FS, L</t>
  </si>
  <si>
    <t>FS, UNK</t>
  </si>
  <si>
    <t>CS, C</t>
  </si>
  <si>
    <t>CS, H</t>
  </si>
  <si>
    <t>CS, L</t>
  </si>
  <si>
    <t>CS, UNK</t>
  </si>
  <si>
    <t>Space supplied to input future years, 2013, 2014</t>
  </si>
  <si>
    <t>All ages</t>
  </si>
  <si>
    <t>T4.Number of dead animals (totals)</t>
  </si>
  <si>
    <t>With assumptions</t>
  </si>
  <si>
    <t>EU28</t>
  </si>
  <si>
    <t xml:space="preserve">EU25 </t>
  </si>
  <si>
    <t>MS minus Bulgaria and Romania</t>
  </si>
  <si>
    <t>Example datasets:</t>
  </si>
  <si>
    <t>LL</t>
  </si>
  <si>
    <t>Example of a large cattle population member state in Europe with significant test positive cases (212)</t>
  </si>
  <si>
    <t>Feed ban and testing controls started in 2001</t>
  </si>
  <si>
    <t>Last test positive was 2009</t>
  </si>
  <si>
    <t>Cases found in all four streams (HS, ES, FS and CS), majority not strain typed</t>
  </si>
  <si>
    <t>MM</t>
  </si>
  <si>
    <t>Example of a medium cattle population member state in Europe with test positive cases (9)</t>
  </si>
  <si>
    <t>Feed ban and testing controls started in 2003</t>
  </si>
  <si>
    <t>Last test positive was 2010</t>
  </si>
  <si>
    <t>Cases found in two streams (HS and FS), majority not strain typed</t>
  </si>
  <si>
    <t>Example of a Medium Cattle Population Country in Europe with some Test positive cases</t>
  </si>
  <si>
    <t>Example of a Large Cattle Population Country in Europe with significant Test positive cases</t>
  </si>
  <si>
    <t>Member State and other Country data (only available in full model version):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</si>
</sst>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0.000"/>
    <numFmt numFmtId="165" formatCode="0.0000"/>
    <numFmt numFmtId="166" formatCode="0.0"/>
  </numFmts>
  <fonts count="54">
    <font>
      <sz val="11"/>
      <name val="Arial"/>
      <charset val="23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  <charset val="238"/>
    </font>
    <font>
      <sz val="11"/>
      <color indexed="9"/>
      <name val="Calibri"/>
      <family val="2"/>
      <charset val="238"/>
    </font>
    <font>
      <sz val="11"/>
      <color indexed="62"/>
      <name val="Calibri"/>
      <family val="2"/>
      <charset val="238"/>
    </font>
    <font>
      <b/>
      <sz val="18"/>
      <color indexed="56"/>
      <name val="Cambria"/>
      <family val="2"/>
      <charset val="238"/>
    </font>
    <font>
      <b/>
      <sz val="15"/>
      <color indexed="56"/>
      <name val="Calibri"/>
      <family val="2"/>
      <charset val="238"/>
    </font>
    <font>
      <b/>
      <sz val="13"/>
      <color indexed="56"/>
      <name val="Calibri"/>
      <family val="2"/>
      <charset val="238"/>
    </font>
    <font>
      <b/>
      <sz val="11"/>
      <color indexed="56"/>
      <name val="Calibri"/>
      <family val="2"/>
      <charset val="238"/>
    </font>
    <font>
      <b/>
      <sz val="11"/>
      <color indexed="9"/>
      <name val="Calibri"/>
      <family val="2"/>
      <charset val="238"/>
    </font>
    <font>
      <sz val="11"/>
      <color indexed="10"/>
      <name val="Calibri"/>
      <family val="2"/>
      <charset val="238"/>
    </font>
    <font>
      <sz val="11"/>
      <color indexed="52"/>
      <name val="Calibri"/>
      <family val="2"/>
      <charset val="238"/>
    </font>
    <font>
      <sz val="11"/>
      <color indexed="17"/>
      <name val="Calibri"/>
      <family val="2"/>
      <charset val="238"/>
    </font>
    <font>
      <b/>
      <sz val="11"/>
      <color indexed="63"/>
      <name val="Calibri"/>
      <family val="2"/>
      <charset val="238"/>
    </font>
    <font>
      <i/>
      <sz val="11"/>
      <color indexed="23"/>
      <name val="Calibri"/>
      <family val="2"/>
      <charset val="238"/>
    </font>
    <font>
      <sz val="10"/>
      <name val="Arial CE"/>
      <charset val="238"/>
    </font>
    <font>
      <b/>
      <sz val="11"/>
      <color indexed="8"/>
      <name val="Calibri"/>
      <family val="2"/>
      <charset val="238"/>
    </font>
    <font>
      <sz val="11"/>
      <color indexed="20"/>
      <name val="Calibri"/>
      <family val="2"/>
      <charset val="238"/>
    </font>
    <font>
      <sz val="11"/>
      <color indexed="60"/>
      <name val="Calibri"/>
      <family val="2"/>
      <charset val="238"/>
    </font>
    <font>
      <b/>
      <sz val="11"/>
      <color indexed="52"/>
      <name val="Calibri"/>
      <family val="2"/>
      <charset val="238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 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sz val="10"/>
      <name val="Arial"/>
      <family val="2"/>
      <charset val="238"/>
    </font>
    <font>
      <sz val="10"/>
      <color rgb="FFFF0000"/>
      <name val="Arial"/>
      <family val="2"/>
    </font>
    <font>
      <sz val="12"/>
      <name val="Calibri"/>
      <family val="2"/>
    </font>
    <font>
      <u/>
      <sz val="11"/>
      <color indexed="12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18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07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11" fillId="2" borderId="0" applyNumberFormat="0" applyBorder="0" applyAlignment="0" applyProtection="0"/>
    <xf numFmtId="0" fontId="11" fillId="3" borderId="0" applyNumberFormat="0" applyBorder="0" applyAlignment="0" applyProtection="0"/>
    <xf numFmtId="0" fontId="11" fillId="4" borderId="0" applyNumberFormat="0" applyBorder="0" applyAlignment="0" applyProtection="0"/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7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11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5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12" fillId="12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0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4" fillId="20" borderId="1" applyNumberFormat="0" applyFont="0" applyAlignment="0" applyProtection="0"/>
    <xf numFmtId="0" fontId="4" fillId="20" borderId="1" applyNumberFormat="0" applyFont="0" applyAlignment="0" applyProtection="0"/>
    <xf numFmtId="0" fontId="31" fillId="21" borderId="2" applyNumberFormat="0" applyAlignment="0" applyProtection="0"/>
    <xf numFmtId="0" fontId="13" fillId="7" borderId="2" applyNumberFormat="0" applyAlignment="0" applyProtection="0"/>
    <xf numFmtId="0" fontId="34" fillId="4" borderId="0" applyNumberFormat="0" applyBorder="0" applyAlignment="0" applyProtection="0"/>
    <xf numFmtId="0" fontId="14" fillId="0" borderId="0" applyNumberFormat="0" applyFill="0" applyBorder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7" fillId="0" borderId="6" applyNumberFormat="0" applyFill="0" applyAlignment="0" applyProtection="0"/>
    <xf numFmtId="0" fontId="17" fillId="0" borderId="0" applyNumberFormat="0" applyFill="0" applyBorder="0" applyAlignment="0" applyProtection="0"/>
    <xf numFmtId="0" fontId="30" fillId="3" borderId="0" applyNumberFormat="0" applyBorder="0" applyAlignment="0" applyProtection="0"/>
    <xf numFmtId="0" fontId="34" fillId="4" borderId="0" applyNumberFormat="0" applyBorder="0" applyAlignment="0" applyProtection="0"/>
    <xf numFmtId="0" fontId="18" fillId="22" borderId="3" applyNumberFormat="0" applyAlignment="0" applyProtection="0"/>
    <xf numFmtId="0" fontId="29" fillId="16" borderId="0" applyNumberFormat="0" applyBorder="0" applyAlignment="0" applyProtection="0"/>
    <xf numFmtId="0" fontId="29" fillId="17" borderId="0" applyNumberFormat="0" applyBorder="0" applyAlignment="0" applyProtection="0"/>
    <xf numFmtId="0" fontId="29" fillId="18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9" borderId="0" applyNumberFormat="0" applyBorder="0" applyAlignment="0" applyProtection="0"/>
    <xf numFmtId="0" fontId="19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20" fillId="0" borderId="7" applyNumberFormat="0" applyFill="0" applyAlignment="0" applyProtection="0"/>
    <xf numFmtId="0" fontId="38" fillId="7" borderId="2" applyNumberFormat="0" applyAlignment="0" applyProtection="0"/>
    <xf numFmtId="0" fontId="11" fillId="20" borderId="1" applyNumberFormat="0" applyFont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9" borderId="0" applyNumberFormat="0" applyBorder="0" applyAlignment="0" applyProtection="0"/>
    <xf numFmtId="0" fontId="21" fillId="4" borderId="0" applyNumberFormat="0" applyBorder="0" applyAlignment="0" applyProtection="0"/>
    <xf numFmtId="0" fontId="22" fillId="21" borderId="8" applyNumberFormat="0" applyAlignment="0" applyProtection="0"/>
    <xf numFmtId="0" fontId="32" fillId="22" borderId="3" applyNumberFormat="0" applyAlignment="0" applyProtection="0"/>
    <xf numFmtId="0" fontId="32" fillId="22" borderId="3" applyNumberFormat="0" applyAlignment="0" applyProtection="0"/>
    <xf numFmtId="0" fontId="39" fillId="0" borderId="7" applyNumberFormat="0" applyFill="0" applyAlignment="0" applyProtection="0"/>
    <xf numFmtId="0" fontId="23" fillId="0" borderId="0" applyNumberFormat="0" applyFill="0" applyBorder="0" applyAlignment="0" applyProtection="0"/>
    <xf numFmtId="0" fontId="35" fillId="0" borderId="4" applyNumberFormat="0" applyFill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7" fillId="0" borderId="0" applyNumberFormat="0" applyFill="0" applyBorder="0" applyAlignment="0" applyProtection="0"/>
    <xf numFmtId="0" fontId="40" fillId="23" borderId="0" applyNumberFormat="0" applyBorder="0" applyAlignment="0" applyProtection="0"/>
    <xf numFmtId="0" fontId="48" fillId="0" borderId="0"/>
    <xf numFmtId="0" fontId="24" fillId="0" borderId="0"/>
    <xf numFmtId="0" fontId="6" fillId="0" borderId="0"/>
    <xf numFmtId="0" fontId="4" fillId="0" borderId="0"/>
    <xf numFmtId="0" fontId="4" fillId="0" borderId="0"/>
    <xf numFmtId="0" fontId="11" fillId="0" borderId="0"/>
    <xf numFmtId="0" fontId="6" fillId="0" borderId="0"/>
    <xf numFmtId="0" fontId="7" fillId="0" borderId="0"/>
    <xf numFmtId="0" fontId="4" fillId="0" borderId="0"/>
    <xf numFmtId="0" fontId="9" fillId="0" borderId="0"/>
    <xf numFmtId="0" fontId="5" fillId="0" borderId="0"/>
    <xf numFmtId="0" fontId="5" fillId="0" borderId="0"/>
    <xf numFmtId="0" fontId="11" fillId="0" borderId="0"/>
    <xf numFmtId="0" fontId="25" fillId="0" borderId="9" applyNumberFormat="0" applyFill="0" applyAlignment="0" applyProtection="0"/>
    <xf numFmtId="0" fontId="4" fillId="20" borderId="1" applyNumberFormat="0" applyFont="0" applyAlignment="0" applyProtection="0"/>
    <xf numFmtId="0" fontId="39" fillId="0" borderId="7" applyNumberFormat="0" applyFill="0" applyAlignment="0" applyProtection="0"/>
    <xf numFmtId="0" fontId="26" fillId="3" borderId="0" applyNumberFormat="0" applyBorder="0" applyAlignment="0" applyProtection="0"/>
    <xf numFmtId="0" fontId="42" fillId="0" borderId="0" applyNumberFormat="0" applyFill="0" applyBorder="0" applyAlignment="0" applyProtection="0"/>
    <xf numFmtId="0" fontId="35" fillId="0" borderId="4" applyNumberFormat="0" applyFill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7" fillId="0" borderId="0" applyNumberFormat="0" applyFill="0" applyBorder="0" applyAlignment="0" applyProtection="0"/>
    <xf numFmtId="0" fontId="27" fillId="23" borderId="0" applyNumberFormat="0" applyBorder="0" applyAlignment="0" applyProtection="0"/>
    <xf numFmtId="0" fontId="43" fillId="0" borderId="9" applyNumberFormat="0" applyFill="0" applyAlignment="0" applyProtection="0"/>
    <xf numFmtId="0" fontId="43" fillId="0" borderId="9" applyNumberFormat="0" applyFill="0" applyAlignment="0" applyProtection="0"/>
    <xf numFmtId="0" fontId="28" fillId="21" borderId="2" applyNumberFormat="0" applyAlignment="0" applyProtection="0"/>
    <xf numFmtId="0" fontId="44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1" fillId="21" borderId="8" applyNumberFormat="0" applyAlignment="0" applyProtection="0"/>
    <xf numFmtId="0" fontId="44" fillId="0" borderId="0" applyNumberFormat="0" applyFill="0" applyBorder="0" applyAlignment="0" applyProtection="0"/>
    <xf numFmtId="0" fontId="38" fillId="7" borderId="2" applyNumberFormat="0" applyAlignment="0" applyProtection="0"/>
    <xf numFmtId="0" fontId="31" fillId="21" borderId="2" applyNumberFormat="0" applyAlignment="0" applyProtection="0"/>
    <xf numFmtId="0" fontId="41" fillId="21" borderId="8" applyNumberFormat="0" applyAlignment="0" applyProtection="0"/>
    <xf numFmtId="0" fontId="33" fillId="0" borderId="0" applyNumberFormat="0" applyFill="0" applyBorder="0" applyAlignment="0" applyProtection="0"/>
    <xf numFmtId="0" fontId="30" fillId="3" borderId="0" applyNumberFormat="0" applyBorder="0" applyAlignment="0" applyProtection="0"/>
    <xf numFmtId="0" fontId="29" fillId="16" borderId="0" applyNumberFormat="0" applyBorder="0" applyAlignment="0" applyProtection="0"/>
    <xf numFmtId="0" fontId="29" fillId="17" borderId="0" applyNumberFormat="0" applyBorder="0" applyAlignment="0" applyProtection="0"/>
    <xf numFmtId="0" fontId="29" fillId="18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9" borderId="0" applyNumberFormat="0" applyBorder="0" applyAlignment="0" applyProtection="0"/>
    <xf numFmtId="0" fontId="4" fillId="0" borderId="0"/>
    <xf numFmtId="0" fontId="6" fillId="0" borderId="0"/>
    <xf numFmtId="0" fontId="3" fillId="0" borderId="0"/>
    <xf numFmtId="0" fontId="6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50" fillId="0" borderId="0"/>
    <xf numFmtId="0" fontId="3" fillId="0" borderId="0"/>
    <xf numFmtId="0" fontId="6" fillId="0" borderId="0"/>
    <xf numFmtId="0" fontId="6" fillId="0" borderId="0"/>
    <xf numFmtId="0" fontId="3" fillId="0" borderId="0"/>
    <xf numFmtId="0" fontId="3" fillId="0" borderId="0"/>
    <xf numFmtId="0" fontId="6" fillId="0" borderId="0"/>
    <xf numFmtId="0" fontId="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3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372">
    <xf numFmtId="0" fontId="0" fillId="0" borderId="0" xfId="0"/>
    <xf numFmtId="0" fontId="9" fillId="0" borderId="0" xfId="0" applyFont="1"/>
    <xf numFmtId="0" fontId="9" fillId="0" borderId="10" xfId="0" applyFont="1" applyBorder="1"/>
    <xf numFmtId="0" fontId="9" fillId="0" borderId="11" xfId="0" applyFont="1" applyBorder="1"/>
    <xf numFmtId="0" fontId="9" fillId="0" borderId="0" xfId="0" applyFont="1" applyBorder="1"/>
    <xf numFmtId="0" fontId="9" fillId="0" borderId="13" xfId="0" applyFont="1" applyBorder="1"/>
    <xf numFmtId="0" fontId="9" fillId="0" borderId="15" xfId="0" applyFont="1" applyBorder="1"/>
    <xf numFmtId="1" fontId="9" fillId="0" borderId="0" xfId="0" applyNumberFormat="1" applyFont="1" applyBorder="1"/>
    <xf numFmtId="0" fontId="10" fillId="0" borderId="10" xfId="0" applyFont="1" applyBorder="1"/>
    <xf numFmtId="0" fontId="9" fillId="0" borderId="0" xfId="0" applyFont="1" applyFill="1" applyBorder="1"/>
    <xf numFmtId="0" fontId="10" fillId="0" borderId="10" xfId="0" applyFont="1" applyBorder="1" applyAlignment="1">
      <alignment horizontal="left"/>
    </xf>
    <xf numFmtId="0" fontId="9" fillId="0" borderId="15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9" fillId="0" borderId="0" xfId="0" applyFont="1" applyBorder="1" applyAlignment="1">
      <alignment horizontal="left"/>
    </xf>
    <xf numFmtId="0" fontId="9" fillId="0" borderId="13" xfId="0" applyFont="1" applyBorder="1" applyAlignment="1">
      <alignment horizontal="left"/>
    </xf>
    <xf numFmtId="0" fontId="10" fillId="0" borderId="10" xfId="0" applyFont="1" applyBorder="1" applyAlignment="1"/>
    <xf numFmtId="0" fontId="9" fillId="0" borderId="15" xfId="0" applyFont="1" applyBorder="1" applyAlignment="1"/>
    <xf numFmtId="0" fontId="9" fillId="0" borderId="11" xfId="0" applyFont="1" applyBorder="1" applyAlignment="1"/>
    <xf numFmtId="0" fontId="9" fillId="0" borderId="0" xfId="0" applyFont="1" applyBorder="1" applyAlignment="1"/>
    <xf numFmtId="0" fontId="9" fillId="0" borderId="13" xfId="0" applyFont="1" applyBorder="1" applyAlignment="1"/>
    <xf numFmtId="1" fontId="9" fillId="0" borderId="0" xfId="113" applyNumberFormat="1" applyFont="1" applyFill="1" applyBorder="1" applyAlignment="1"/>
    <xf numFmtId="0" fontId="10" fillId="0" borderId="0" xfId="0" applyFont="1" applyBorder="1"/>
    <xf numFmtId="0" fontId="9" fillId="0" borderId="0" xfId="0" applyFont="1" applyFill="1" applyBorder="1" applyAlignment="1">
      <alignment horizontal="center"/>
    </xf>
    <xf numFmtId="0" fontId="9" fillId="0" borderId="12" xfId="0" applyFont="1" applyBorder="1" applyAlignment="1">
      <alignment horizontal="center"/>
    </xf>
    <xf numFmtId="1" fontId="9" fillId="0" borderId="0" xfId="0" applyNumberFormat="1" applyFont="1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8" fillId="0" borderId="0" xfId="111" applyFont="1" applyFill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24" borderId="0" xfId="0" applyFont="1" applyFill="1" applyBorder="1" applyAlignment="1">
      <alignment horizontal="center"/>
    </xf>
    <xf numFmtId="1" fontId="9" fillId="24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1" fontId="9" fillId="0" borderId="0" xfId="113" applyNumberFormat="1" applyFont="1" applyFill="1" applyBorder="1" applyAlignment="1">
      <alignment horizontal="center"/>
    </xf>
    <xf numFmtId="0" fontId="9" fillId="0" borderId="15" xfId="0" applyFont="1" applyBorder="1" applyAlignment="1">
      <alignment horizontal="center"/>
    </xf>
    <xf numFmtId="1" fontId="9" fillId="0" borderId="0" xfId="0" applyNumberFormat="1" applyFont="1" applyBorder="1" applyAlignment="1">
      <alignment horizontal="center"/>
    </xf>
    <xf numFmtId="1" fontId="9" fillId="24" borderId="17" xfId="0" applyNumberFormat="1" applyFont="1" applyFill="1" applyBorder="1" applyAlignment="1">
      <alignment horizontal="center"/>
    </xf>
    <xf numFmtId="1" fontId="9" fillId="0" borderId="17" xfId="0" applyNumberFormat="1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0" xfId="0" applyFont="1" applyFill="1" applyBorder="1" applyAlignment="1"/>
    <xf numFmtId="1" fontId="9" fillId="0" borderId="17" xfId="113" applyNumberFormat="1" applyFont="1" applyFill="1" applyBorder="1" applyAlignment="1">
      <alignment horizontal="center"/>
    </xf>
    <xf numFmtId="0" fontId="9" fillId="0" borderId="0" xfId="115" applyFont="1" applyFill="1" applyBorder="1" applyAlignment="1">
      <alignment horizontal="center"/>
    </xf>
    <xf numFmtId="1" fontId="9" fillId="0" borderId="17" xfId="0" applyNumberFormat="1" applyFont="1" applyFill="1" applyBorder="1" applyAlignment="1">
      <alignment horizontal="center"/>
    </xf>
    <xf numFmtId="1" fontId="9" fillId="0" borderId="0" xfId="115" applyNumberFormat="1" applyFont="1" applyFill="1" applyBorder="1" applyAlignment="1">
      <alignment horizontal="center"/>
    </xf>
    <xf numFmtId="1" fontId="9" fillId="0" borderId="12" xfId="0" applyNumberFormat="1" applyFont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0" fontId="9" fillId="0" borderId="17" xfId="0" applyFont="1" applyBorder="1"/>
    <xf numFmtId="0" fontId="9" fillId="0" borderId="0" xfId="0" applyFont="1" applyAlignment="1">
      <alignment horizontal="left"/>
    </xf>
    <xf numFmtId="166" fontId="9" fillId="0" borderId="0" xfId="0" applyNumberFormat="1" applyFont="1" applyFill="1" applyBorder="1" applyAlignment="1">
      <alignment horizontal="center"/>
    </xf>
    <xf numFmtId="166" fontId="9" fillId="0" borderId="0" xfId="115" applyNumberFormat="1" applyFont="1" applyFill="1" applyBorder="1" applyAlignment="1">
      <alignment horizontal="center"/>
    </xf>
    <xf numFmtId="166" fontId="9" fillId="0" borderId="0" xfId="0" applyNumberFormat="1" applyFont="1" applyBorder="1" applyAlignment="1">
      <alignment horizontal="center"/>
    </xf>
    <xf numFmtId="1" fontId="8" fillId="0" borderId="0" xfId="0" applyNumberFormat="1" applyFont="1" applyFill="1" applyBorder="1" applyAlignment="1">
      <alignment horizontal="center"/>
    </xf>
    <xf numFmtId="0" fontId="9" fillId="0" borderId="0" xfId="0" applyFont="1" applyFill="1" applyBorder="1" applyAlignment="1">
      <alignment horizontal="left"/>
    </xf>
    <xf numFmtId="166" fontId="9" fillId="0" borderId="17" xfId="0" applyNumberFormat="1" applyFont="1" applyFill="1" applyBorder="1" applyAlignment="1">
      <alignment horizontal="center"/>
    </xf>
    <xf numFmtId="166" fontId="9" fillId="24" borderId="0" xfId="0" applyNumberFormat="1" applyFont="1" applyFill="1" applyBorder="1" applyAlignment="1">
      <alignment horizontal="center"/>
    </xf>
    <xf numFmtId="166" fontId="9" fillId="24" borderId="17" xfId="0" applyNumberFormat="1" applyFont="1" applyFill="1" applyBorder="1" applyAlignment="1">
      <alignment horizontal="center"/>
    </xf>
    <xf numFmtId="166" fontId="9" fillId="0" borderId="12" xfId="0" applyNumberFormat="1" applyFont="1" applyBorder="1" applyAlignment="1">
      <alignment horizontal="center"/>
    </xf>
    <xf numFmtId="166" fontId="9" fillId="0" borderId="14" xfId="0" applyNumberFormat="1" applyFont="1" applyBorder="1" applyAlignment="1">
      <alignment horizontal="center"/>
    </xf>
    <xf numFmtId="1" fontId="9" fillId="0" borderId="14" xfId="0" applyNumberFormat="1" applyFont="1" applyBorder="1" applyAlignment="1">
      <alignment horizontal="center"/>
    </xf>
    <xf numFmtId="1" fontId="5" fillId="0" borderId="0" xfId="0" applyNumberFormat="1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12" xfId="0" applyFont="1" applyFill="1" applyBorder="1"/>
    <xf numFmtId="1" fontId="5" fillId="24" borderId="0" xfId="0" applyNumberFormat="1" applyFont="1" applyFill="1" applyBorder="1" applyAlignment="1">
      <alignment horizontal="center"/>
    </xf>
    <xf numFmtId="0" fontId="5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0" xfId="0" applyFont="1" applyFill="1" applyBorder="1" applyAlignment="1"/>
    <xf numFmtId="0" fontId="5" fillId="0" borderId="0" xfId="0" applyFont="1" applyBorder="1"/>
    <xf numFmtId="0" fontId="5" fillId="0" borderId="16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3" xfId="0" applyFont="1" applyBorder="1"/>
    <xf numFmtId="0" fontId="5" fillId="0" borderId="15" xfId="0" applyFont="1" applyBorder="1"/>
    <xf numFmtId="0" fontId="5" fillId="24" borderId="0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7" xfId="0" applyFont="1" applyBorder="1"/>
    <xf numFmtId="0" fontId="5" fillId="0" borderId="16" xfId="0" applyFont="1" applyBorder="1" applyAlignment="1">
      <alignment horizontal="center"/>
    </xf>
    <xf numFmtId="1" fontId="5" fillId="0" borderId="0" xfId="0" applyNumberFormat="1" applyFont="1" applyBorder="1" applyAlignment="1">
      <alignment horizontal="center"/>
    </xf>
    <xf numFmtId="166" fontId="9" fillId="0" borderId="0" xfId="0" applyNumberFormat="1" applyFont="1" applyBorder="1" applyAlignment="1">
      <alignment horizontal="left"/>
    </xf>
    <xf numFmtId="1" fontId="9" fillId="24" borderId="0" xfId="0" applyNumberFormat="1" applyFont="1" applyFill="1" applyBorder="1" applyAlignment="1">
      <alignment horizontal="center"/>
    </xf>
    <xf numFmtId="1" fontId="5" fillId="24" borderId="0" xfId="0" applyNumberFormat="1" applyFont="1" applyFill="1" applyBorder="1" applyAlignment="1">
      <alignment horizontal="center"/>
    </xf>
    <xf numFmtId="1" fontId="9" fillId="24" borderId="17" xfId="0" applyNumberFormat="1" applyFont="1" applyFill="1" applyBorder="1" applyAlignment="1">
      <alignment horizontal="center"/>
    </xf>
    <xf numFmtId="0" fontId="45" fillId="0" borderId="0" xfId="0" applyNumberFormat="1" applyFont="1" applyBorder="1"/>
    <xf numFmtId="166" fontId="5" fillId="0" borderId="0" xfId="0" applyNumberFormat="1" applyFont="1" applyFill="1" applyBorder="1" applyAlignment="1">
      <alignment horizontal="left"/>
    </xf>
    <xf numFmtId="0" fontId="45" fillId="0" borderId="0" xfId="0" applyNumberFormat="1" applyFont="1" applyBorder="1" applyAlignment="1">
      <alignment horizontal="center"/>
    </xf>
    <xf numFmtId="166" fontId="9" fillId="0" borderId="0" xfId="113" applyNumberFormat="1" applyFont="1" applyFill="1" applyBorder="1" applyAlignment="1">
      <alignment horizontal="center"/>
    </xf>
    <xf numFmtId="2" fontId="9" fillId="0" borderId="0" xfId="113" applyNumberFormat="1" applyFont="1" applyFill="1" applyBorder="1" applyAlignment="1">
      <alignment horizontal="center"/>
    </xf>
    <xf numFmtId="0" fontId="45" fillId="0" borderId="11" xfId="0" applyFont="1" applyBorder="1"/>
    <xf numFmtId="0" fontId="45" fillId="0" borderId="12" xfId="0" applyNumberFormat="1" applyFont="1" applyBorder="1"/>
    <xf numFmtId="0" fontId="45" fillId="0" borderId="17" xfId="0" applyNumberFormat="1" applyFont="1" applyBorder="1"/>
    <xf numFmtId="0" fontId="45" fillId="0" borderId="14" xfId="0" applyNumberFormat="1" applyFont="1" applyBorder="1"/>
    <xf numFmtId="0" fontId="9" fillId="25" borderId="0" xfId="0" applyFont="1" applyFill="1"/>
    <xf numFmtId="0" fontId="9" fillId="25" borderId="0" xfId="0" applyFont="1" applyFill="1" applyAlignment="1">
      <alignment horizontal="left"/>
    </xf>
    <xf numFmtId="0" fontId="9" fillId="25" borderId="0" xfId="0" applyFont="1" applyFill="1" applyAlignment="1">
      <alignment horizontal="center"/>
    </xf>
    <xf numFmtId="0" fontId="46" fillId="25" borderId="0" xfId="0" applyFont="1" applyFill="1"/>
    <xf numFmtId="0" fontId="47" fillId="25" borderId="0" xfId="0" applyFont="1" applyFill="1"/>
    <xf numFmtId="0" fontId="46" fillId="25" borderId="0" xfId="0" applyFont="1" applyFill="1" applyAlignment="1">
      <alignment horizontal="left"/>
    </xf>
    <xf numFmtId="0" fontId="9" fillId="26" borderId="0" xfId="0" applyFont="1" applyFill="1" applyBorder="1" applyAlignment="1">
      <alignment horizontal="center"/>
    </xf>
    <xf numFmtId="0" fontId="9" fillId="26" borderId="12" xfId="0" applyFont="1" applyFill="1" applyBorder="1" applyAlignment="1">
      <alignment horizontal="center"/>
    </xf>
    <xf numFmtId="0" fontId="9" fillId="26" borderId="15" xfId="0" applyFont="1" applyFill="1" applyBorder="1" applyAlignment="1">
      <alignment horizontal="center"/>
    </xf>
    <xf numFmtId="0" fontId="9" fillId="26" borderId="16" xfId="0" applyFont="1" applyFill="1" applyBorder="1" applyAlignment="1">
      <alignment horizontal="center"/>
    </xf>
    <xf numFmtId="0" fontId="5" fillId="26" borderId="0" xfId="0" applyFont="1" applyFill="1" applyBorder="1"/>
    <xf numFmtId="0" fontId="45" fillId="0" borderId="0" xfId="0" applyFont="1" applyBorder="1"/>
    <xf numFmtId="0" fontId="45" fillId="0" borderId="13" xfId="0" applyFont="1" applyBorder="1"/>
    <xf numFmtId="1" fontId="5" fillId="0" borderId="0" xfId="0" applyNumberFormat="1" applyFont="1" applyBorder="1"/>
    <xf numFmtId="0" fontId="5" fillId="0" borderId="12" xfId="0" applyFont="1" applyBorder="1" applyAlignment="1">
      <alignment horizontal="center"/>
    </xf>
    <xf numFmtId="0" fontId="45" fillId="0" borderId="17" xfId="0" applyNumberFormat="1" applyFont="1" applyBorder="1" applyAlignment="1">
      <alignment horizontal="center"/>
    </xf>
    <xf numFmtId="0" fontId="10" fillId="0" borderId="0" xfId="0" applyFont="1" applyFill="1" applyBorder="1"/>
    <xf numFmtId="3" fontId="8" fillId="0" borderId="12" xfId="0" applyNumberFormat="1" applyFont="1" applyFill="1" applyBorder="1" applyAlignment="1">
      <alignment horizontal="center"/>
    </xf>
    <xf numFmtId="0" fontId="5" fillId="26" borderId="11" xfId="0" applyFont="1" applyFill="1" applyBorder="1"/>
    <xf numFmtId="0" fontId="5" fillId="26" borderId="13" xfId="0" applyFont="1" applyFill="1" applyBorder="1"/>
    <xf numFmtId="3" fontId="8" fillId="0" borderId="14" xfId="0" applyNumberFormat="1" applyFont="1" applyFill="1" applyBorder="1" applyAlignment="1">
      <alignment horizontal="center"/>
    </xf>
    <xf numFmtId="3" fontId="5" fillId="0" borderId="0" xfId="0" applyNumberFormat="1" applyFont="1" applyBorder="1"/>
    <xf numFmtId="0" fontId="5" fillId="0" borderId="0" xfId="0" applyNumberFormat="1" applyFont="1" applyFill="1" applyBorder="1" applyAlignment="1">
      <alignment horizontal="center"/>
    </xf>
    <xf numFmtId="0" fontId="5" fillId="26" borderId="12" xfId="0" applyFont="1" applyFill="1" applyBorder="1" applyAlignment="1">
      <alignment horizontal="center"/>
    </xf>
    <xf numFmtId="3" fontId="8" fillId="24" borderId="0" xfId="0" applyNumberFormat="1" applyFont="1" applyFill="1" applyBorder="1" applyAlignment="1">
      <alignment horizontal="center"/>
    </xf>
    <xf numFmtId="3" fontId="5" fillId="24" borderId="0" xfId="0" applyNumberFormat="1" applyFont="1" applyFill="1" applyBorder="1" applyAlignment="1">
      <alignment horizontal="center"/>
    </xf>
    <xf numFmtId="3" fontId="5" fillId="0" borderId="0" xfId="0" applyNumberFormat="1" applyFont="1" applyFill="1" applyBorder="1" applyAlignment="1">
      <alignment horizontal="center"/>
    </xf>
    <xf numFmtId="1" fontId="5" fillId="0" borderId="12" xfId="0" applyNumberFormat="1" applyFont="1" applyBorder="1" applyAlignment="1">
      <alignment horizontal="center"/>
    </xf>
    <xf numFmtId="49" fontId="5" fillId="0" borderId="11" xfId="0" applyNumberFormat="1" applyFont="1" applyBorder="1"/>
    <xf numFmtId="0" fontId="8" fillId="0" borderId="11" xfId="0" applyFont="1" applyBorder="1" applyAlignment="1">
      <alignment vertical="center" wrapText="1"/>
    </xf>
    <xf numFmtId="0" fontId="5" fillId="0" borderId="11" xfId="0" applyFont="1" applyFill="1" applyBorder="1" applyAlignment="1">
      <alignment horizontal="left"/>
    </xf>
    <xf numFmtId="164" fontId="5" fillId="0" borderId="12" xfId="0" applyNumberFormat="1" applyFont="1" applyBorder="1" applyAlignment="1">
      <alignment horizontal="center"/>
    </xf>
    <xf numFmtId="164" fontId="5" fillId="0" borderId="0" xfId="0" applyNumberFormat="1" applyFont="1" applyBorder="1"/>
    <xf numFmtId="0" fontId="5" fillId="24" borderId="17" xfId="0" applyFont="1" applyFill="1" applyBorder="1" applyAlignment="1">
      <alignment horizontal="center"/>
    </xf>
    <xf numFmtId="0" fontId="5" fillId="0" borderId="14" xfId="0" applyFont="1" applyBorder="1" applyAlignment="1">
      <alignment horizontal="center"/>
    </xf>
    <xf numFmtId="3" fontId="8" fillId="0" borderId="0" xfId="111" applyNumberFormat="1" applyFont="1" applyFill="1" applyBorder="1" applyAlignment="1">
      <alignment horizontal="center"/>
    </xf>
    <xf numFmtId="3" fontId="5" fillId="24" borderId="0" xfId="0" applyNumberFormat="1" applyFont="1" applyFill="1" applyBorder="1" applyAlignment="1">
      <alignment horizontal="center"/>
    </xf>
    <xf numFmtId="0" fontId="5" fillId="24" borderId="0" xfId="0" applyFont="1" applyFill="1" applyBorder="1" applyAlignment="1">
      <alignment horizontal="center"/>
    </xf>
    <xf numFmtId="3" fontId="8" fillId="24" borderId="12" xfId="0" applyNumberFormat="1" applyFont="1" applyFill="1" applyBorder="1" applyAlignment="1">
      <alignment horizontal="center"/>
    </xf>
    <xf numFmtId="0" fontId="9" fillId="0" borderId="16" xfId="0" applyFont="1" applyFill="1" applyBorder="1"/>
    <xf numFmtId="165" fontId="9" fillId="0" borderId="12" xfId="0" applyNumberFormat="1" applyFont="1" applyFill="1" applyBorder="1"/>
    <xf numFmtId="165" fontId="9" fillId="0" borderId="14" xfId="0" applyNumberFormat="1" applyFont="1" applyFill="1" applyBorder="1"/>
    <xf numFmtId="0" fontId="9" fillId="0" borderId="16" xfId="0" applyFont="1" applyFill="1" applyBorder="1" applyAlignment="1">
      <alignment horizontal="center"/>
    </xf>
    <xf numFmtId="165" fontId="9" fillId="0" borderId="12" xfId="0" applyNumberFormat="1" applyFont="1" applyFill="1" applyBorder="1" applyAlignment="1">
      <alignment horizontal="center"/>
    </xf>
    <xf numFmtId="0" fontId="9" fillId="0" borderId="12" xfId="0" applyFont="1" applyFill="1" applyBorder="1" applyAlignment="1">
      <alignment horizontal="center"/>
    </xf>
    <xf numFmtId="165" fontId="9" fillId="0" borderId="14" xfId="0" applyNumberFormat="1" applyFont="1" applyFill="1" applyBorder="1" applyAlignment="1">
      <alignment horizontal="center"/>
    </xf>
    <xf numFmtId="0" fontId="5" fillId="24" borderId="11" xfId="0" applyFont="1" applyFill="1" applyBorder="1"/>
    <xf numFmtId="1" fontId="5" fillId="24" borderId="11" xfId="0" applyNumberFormat="1" applyFont="1" applyFill="1" applyBorder="1"/>
    <xf numFmtId="3" fontId="8" fillId="24" borderId="0" xfId="0" applyNumberFormat="1" applyFont="1" applyFill="1" applyBorder="1" applyAlignment="1">
      <alignment horizontal="center"/>
    </xf>
    <xf numFmtId="3" fontId="8" fillId="24" borderId="17" xfId="111" applyNumberFormat="1" applyFont="1" applyFill="1" applyBorder="1" applyAlignment="1">
      <alignment horizontal="center"/>
    </xf>
    <xf numFmtId="166" fontId="9" fillId="0" borderId="17" xfId="113" applyNumberFormat="1" applyFont="1" applyFill="1" applyBorder="1" applyAlignment="1">
      <alignment horizontal="center"/>
    </xf>
    <xf numFmtId="166" fontId="9" fillId="0" borderId="12" xfId="0" applyNumberFormat="1" applyFont="1" applyFill="1" applyBorder="1" applyAlignment="1">
      <alignment horizontal="center"/>
    </xf>
    <xf numFmtId="166" fontId="9" fillId="0" borderId="14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" fontId="5" fillId="0" borderId="0" xfId="114" applyNumberFormat="1" applyFont="1" applyFill="1" applyBorder="1" applyAlignment="1"/>
    <xf numFmtId="1" fontId="5" fillId="0" borderId="0" xfId="115" applyNumberFormat="1" applyFont="1" applyFill="1" applyBorder="1" applyAlignment="1">
      <alignment horizontal="center"/>
    </xf>
    <xf numFmtId="0" fontId="5" fillId="25" borderId="0" xfId="0" applyFont="1" applyFill="1" applyAlignment="1">
      <alignment horizontal="left"/>
    </xf>
    <xf numFmtId="0" fontId="5" fillId="25" borderId="0" xfId="0" applyFont="1" applyFill="1"/>
    <xf numFmtId="0" fontId="5" fillId="25" borderId="0" xfId="0" applyFont="1" applyFill="1" applyAlignment="1">
      <alignment horizontal="center"/>
    </xf>
    <xf numFmtId="0" fontId="46" fillId="25" borderId="0" xfId="0" applyFont="1" applyFill="1" applyBorder="1"/>
    <xf numFmtId="0" fontId="5" fillId="0" borderId="11" xfId="0" applyFont="1" applyFill="1" applyBorder="1"/>
    <xf numFmtId="3" fontId="8" fillId="0" borderId="12" xfId="0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1" fontId="5" fillId="0" borderId="0" xfId="0" applyNumberFormat="1" applyFont="1" applyFill="1" applyBorder="1" applyAlignment="1">
      <alignment horizontal="center"/>
    </xf>
    <xf numFmtId="1" fontId="5" fillId="0" borderId="17" xfId="0" applyNumberFormat="1" applyFont="1" applyFill="1" applyBorder="1" applyAlignment="1">
      <alignment horizontal="center"/>
    </xf>
    <xf numFmtId="1" fontId="5" fillId="0" borderId="15" xfId="0" applyNumberFormat="1" applyFont="1" applyBorder="1" applyAlignment="1">
      <alignment horizontal="center"/>
    </xf>
    <xf numFmtId="1" fontId="5" fillId="26" borderId="0" xfId="0" applyNumberFormat="1" applyFont="1" applyFill="1" applyBorder="1" applyAlignment="1">
      <alignment horizontal="center"/>
    </xf>
    <xf numFmtId="1" fontId="9" fillId="0" borderId="15" xfId="0" applyNumberFormat="1" applyFont="1" applyBorder="1" applyAlignment="1">
      <alignment horizontal="center"/>
    </xf>
    <xf numFmtId="1" fontId="9" fillId="26" borderId="0" xfId="0" applyNumberFormat="1" applyFont="1" applyFill="1" applyBorder="1" applyAlignment="1">
      <alignment horizontal="center"/>
    </xf>
    <xf numFmtId="1" fontId="9" fillId="0" borderId="15" xfId="0" applyNumberFormat="1" applyFont="1" applyBorder="1"/>
    <xf numFmtId="1" fontId="9" fillId="0" borderId="15" xfId="0" applyNumberFormat="1" applyFont="1" applyFill="1" applyBorder="1" applyAlignment="1">
      <alignment horizontal="center"/>
    </xf>
    <xf numFmtId="1" fontId="45" fillId="0" borderId="0" xfId="0" applyNumberFormat="1" applyFont="1" applyBorder="1" applyAlignment="1">
      <alignment horizontal="right"/>
    </xf>
    <xf numFmtId="1" fontId="45" fillId="0" borderId="17" xfId="0" applyNumberFormat="1" applyFont="1" applyBorder="1" applyAlignment="1">
      <alignment horizontal="right"/>
    </xf>
    <xf numFmtId="0" fontId="5" fillId="0" borderId="0" xfId="0" applyNumberFormat="1" applyFont="1" applyFill="1" applyBorder="1" applyAlignment="1">
      <alignment horizontal="center"/>
    </xf>
    <xf numFmtId="3" fontId="5" fillId="0" borderId="0" xfId="0" applyNumberFormat="1" applyFont="1" applyFill="1" applyBorder="1" applyAlignment="1">
      <alignment horizontal="center"/>
    </xf>
    <xf numFmtId="1" fontId="5" fillId="0" borderId="0" xfId="0" applyNumberFormat="1" applyFont="1" applyFill="1" applyBorder="1"/>
    <xf numFmtId="165" fontId="5" fillId="0" borderId="0" xfId="0" applyNumberFormat="1" applyFont="1" applyBorder="1" applyAlignment="1">
      <alignment horizontal="center"/>
    </xf>
    <xf numFmtId="165" fontId="5" fillId="0" borderId="0" xfId="0" applyNumberFormat="1" applyFont="1" applyBorder="1"/>
    <xf numFmtId="0" fontId="5" fillId="0" borderId="0" xfId="0" applyFont="1" applyFill="1" applyBorder="1"/>
    <xf numFmtId="1" fontId="6" fillId="0" borderId="0" xfId="154" applyNumberFormat="1" applyFill="1"/>
    <xf numFmtId="1" fontId="5" fillId="0" borderId="15" xfId="154" applyNumberFormat="1" applyFont="1" applyFill="1" applyBorder="1"/>
    <xf numFmtId="1" fontId="5" fillId="0" borderId="15" xfId="154" applyNumberFormat="1" applyFont="1" applyFill="1" applyBorder="1" applyAlignment="1">
      <alignment horizontal="center"/>
    </xf>
    <xf numFmtId="1" fontId="45" fillId="0" borderId="0" xfId="154" applyNumberFormat="1" applyFont="1" applyFill="1" applyBorder="1"/>
    <xf numFmtId="1" fontId="5" fillId="0" borderId="0" xfId="154" applyNumberFormat="1" applyFont="1" applyFill="1" applyBorder="1"/>
    <xf numFmtId="1" fontId="5" fillId="0" borderId="0" xfId="154" applyNumberFormat="1" applyFont="1" applyFill="1" applyBorder="1" applyAlignment="1">
      <alignment horizontal="center"/>
    </xf>
    <xf numFmtId="1" fontId="5" fillId="0" borderId="17" xfId="154" applyNumberFormat="1" applyFont="1" applyFill="1" applyBorder="1" applyAlignment="1">
      <alignment horizontal="center"/>
    </xf>
    <xf numFmtId="0" fontId="9" fillId="0" borderId="15" xfId="0" applyFont="1" applyBorder="1" applyAlignment="1">
      <alignment horizontal="center"/>
    </xf>
    <xf numFmtId="1" fontId="5" fillId="24" borderId="0" xfId="154" applyNumberFormat="1" applyFont="1" applyFill="1" applyBorder="1" applyAlignment="1">
      <alignment horizontal="center"/>
    </xf>
    <xf numFmtId="1" fontId="5" fillId="0" borderId="0" xfId="154" applyNumberFormat="1" applyFont="1" applyBorder="1" applyAlignment="1">
      <alignment horizontal="center"/>
    </xf>
    <xf numFmtId="1" fontId="5" fillId="0" borderId="12" xfId="154" applyNumberFormat="1" applyFont="1" applyBorder="1" applyAlignment="1">
      <alignment horizontal="center"/>
    </xf>
    <xf numFmtId="1" fontId="5" fillId="0" borderId="0" xfId="154" applyNumberFormat="1" applyFont="1" applyBorder="1"/>
    <xf numFmtId="1" fontId="5" fillId="0" borderId="14" xfId="154" applyNumberFormat="1" applyFont="1" applyBorder="1" applyAlignment="1">
      <alignment horizontal="center"/>
    </xf>
    <xf numFmtId="1" fontId="5" fillId="24" borderId="17" xfId="154" applyNumberFormat="1" applyFont="1" applyFill="1" applyBorder="1" applyAlignment="1">
      <alignment horizontal="center"/>
    </xf>
    <xf numFmtId="1" fontId="5" fillId="0" borderId="11" xfId="154" applyNumberFormat="1" applyFont="1" applyFill="1" applyBorder="1"/>
    <xf numFmtId="1" fontId="8" fillId="27" borderId="12" xfId="154" applyNumberFormat="1" applyFont="1" applyFill="1" applyBorder="1" applyAlignment="1">
      <alignment horizontal="center"/>
    </xf>
    <xf numFmtId="1" fontId="5" fillId="27" borderId="0" xfId="154" applyNumberFormat="1" applyFont="1" applyFill="1" applyBorder="1" applyAlignment="1">
      <alignment horizontal="center"/>
    </xf>
    <xf numFmtId="2" fontId="5" fillId="0" borderId="0" xfId="154" applyNumberFormat="1" applyFont="1" applyBorder="1" applyAlignment="1">
      <alignment horizontal="center"/>
    </xf>
    <xf numFmtId="2" fontId="5" fillId="0" borderId="0" xfId="154" applyNumberFormat="1" applyFont="1" applyFill="1" applyBorder="1" applyAlignment="1">
      <alignment horizontal="center"/>
    </xf>
    <xf numFmtId="1" fontId="10" fillId="0" borderId="0" xfId="154" applyNumberFormat="1" applyFont="1" applyFill="1" applyBorder="1"/>
    <xf numFmtId="1" fontId="10" fillId="0" borderId="10" xfId="154" applyNumberFormat="1" applyFont="1" applyBorder="1"/>
    <xf numFmtId="1" fontId="5" fillId="0" borderId="16" xfId="154" applyNumberFormat="1" applyFont="1" applyBorder="1"/>
    <xf numFmtId="1" fontId="5" fillId="0" borderId="11" xfId="154" applyNumberFormat="1" applyFont="1" applyBorder="1"/>
    <xf numFmtId="1" fontId="5" fillId="0" borderId="12" xfId="154" applyNumberFormat="1" applyFont="1" applyBorder="1"/>
    <xf numFmtId="1" fontId="5" fillId="26" borderId="0" xfId="0" applyNumberFormat="1" applyFont="1" applyFill="1" applyBorder="1"/>
    <xf numFmtId="1" fontId="52" fillId="0" borderId="0" xfId="154" applyNumberFormat="1" applyFont="1" applyFill="1" applyBorder="1" applyAlignment="1"/>
    <xf numFmtId="1" fontId="53" fillId="0" borderId="0" xfId="171" applyNumberFormat="1" applyFill="1" applyBorder="1" applyAlignment="1" applyProtection="1"/>
    <xf numFmtId="1" fontId="8" fillId="0" borderId="12" xfId="154" applyNumberFormat="1" applyFont="1" applyFill="1" applyBorder="1" applyAlignment="1">
      <alignment horizontal="center"/>
    </xf>
    <xf numFmtId="1" fontId="5" fillId="26" borderId="11" xfId="0" applyNumberFormat="1" applyFont="1" applyFill="1" applyBorder="1"/>
    <xf numFmtId="1" fontId="5" fillId="26" borderId="13" xfId="0" applyNumberFormat="1" applyFont="1" applyFill="1" applyBorder="1"/>
    <xf numFmtId="1" fontId="8" fillId="0" borderId="14" xfId="154" applyNumberFormat="1" applyFont="1" applyFill="1" applyBorder="1" applyAlignment="1">
      <alignment horizontal="center"/>
    </xf>
    <xf numFmtId="1" fontId="5" fillId="0" borderId="15" xfId="154" applyNumberFormat="1" applyFont="1" applyBorder="1"/>
    <xf numFmtId="1" fontId="5" fillId="0" borderId="15" xfId="154" applyNumberFormat="1" applyFont="1" applyBorder="1" applyAlignment="1">
      <alignment horizontal="center"/>
    </xf>
    <xf numFmtId="1" fontId="5" fillId="0" borderId="16" xfId="154" applyNumberFormat="1" applyFont="1" applyBorder="1" applyAlignment="1">
      <alignment horizontal="center"/>
    </xf>
    <xf numFmtId="1" fontId="5" fillId="26" borderId="12" xfId="0" applyNumberFormat="1" applyFont="1" applyFill="1" applyBorder="1" applyAlignment="1">
      <alignment horizontal="center"/>
    </xf>
    <xf numFmtId="1" fontId="8" fillId="24" borderId="0" xfId="154" applyNumberFormat="1" applyFont="1" applyFill="1" applyBorder="1" applyAlignment="1">
      <alignment horizontal="center"/>
    </xf>
    <xf numFmtId="1" fontId="8" fillId="0" borderId="11" xfId="154" applyNumberFormat="1" applyFont="1" applyBorder="1" applyAlignment="1">
      <alignment vertical="center" wrapText="1"/>
    </xf>
    <xf numFmtId="1" fontId="5" fillId="0" borderId="11" xfId="154" applyNumberFormat="1" applyFont="1" applyFill="1" applyBorder="1" applyAlignment="1">
      <alignment horizontal="left"/>
    </xf>
    <xf numFmtId="1" fontId="8" fillId="27" borderId="0" xfId="154" applyNumberFormat="1" applyFont="1" applyFill="1" applyBorder="1" applyAlignment="1">
      <alignment horizontal="center"/>
    </xf>
    <xf numFmtId="1" fontId="5" fillId="0" borderId="13" xfId="154" applyNumberFormat="1" applyFont="1" applyBorder="1"/>
    <xf numFmtId="1" fontId="8" fillId="27" borderId="17" xfId="112" applyNumberFormat="1" applyFont="1" applyFill="1" applyBorder="1" applyAlignment="1">
      <alignment horizontal="center"/>
    </xf>
    <xf numFmtId="1" fontId="8" fillId="0" borderId="0" xfId="112" applyNumberFormat="1" applyFont="1" applyFill="1" applyBorder="1" applyAlignment="1">
      <alignment horizontal="center"/>
    </xf>
    <xf numFmtId="1" fontId="5" fillId="0" borderId="12" xfId="154" applyNumberFormat="1" applyFont="1" applyFill="1" applyBorder="1" applyAlignment="1">
      <alignment horizontal="center"/>
    </xf>
    <xf numFmtId="1" fontId="5" fillId="0" borderId="11" xfId="154" applyNumberFormat="1" applyFont="1" applyBorder="1" applyAlignment="1"/>
    <xf numFmtId="1" fontId="10" fillId="0" borderId="10" xfId="154" applyNumberFormat="1" applyFont="1" applyBorder="1" applyAlignment="1"/>
    <xf numFmtId="1" fontId="5" fillId="0" borderId="15" xfId="154" applyNumberFormat="1" applyFont="1" applyBorder="1" applyAlignment="1"/>
    <xf numFmtId="1" fontId="5" fillId="0" borderId="15" xfId="154" applyNumberFormat="1" applyFont="1" applyBorder="1" applyAlignment="1">
      <alignment horizontal="left"/>
    </xf>
    <xf numFmtId="1" fontId="5" fillId="0" borderId="0" xfId="154" applyNumberFormat="1" applyFont="1" applyBorder="1" applyAlignment="1"/>
    <xf numFmtId="1" fontId="5" fillId="0" borderId="13" xfId="154" applyNumberFormat="1" applyFont="1" applyBorder="1" applyAlignment="1"/>
    <xf numFmtId="1" fontId="5" fillId="0" borderId="0" xfId="154" applyNumberFormat="1" applyFont="1" applyFill="1" applyBorder="1" applyAlignment="1"/>
    <xf numFmtId="1" fontId="5" fillId="0" borderId="0" xfId="154" applyNumberFormat="1" applyFont="1" applyFill="1" applyBorder="1" applyAlignment="1">
      <alignment horizontal="left"/>
    </xf>
    <xf numFmtId="1" fontId="10" fillId="0" borderId="10" xfId="154" applyNumberFormat="1" applyFont="1" applyBorder="1" applyAlignment="1">
      <alignment horizontal="left"/>
    </xf>
    <xf numFmtId="1" fontId="5" fillId="0" borderId="11" xfId="154" applyNumberFormat="1" applyFont="1" applyBorder="1" applyAlignment="1">
      <alignment horizontal="left"/>
    </xf>
    <xf numFmtId="1" fontId="5" fillId="0" borderId="0" xfId="154" applyNumberFormat="1" applyFont="1" applyBorder="1" applyAlignment="1">
      <alignment horizontal="left"/>
    </xf>
    <xf numFmtId="1" fontId="5" fillId="0" borderId="14" xfId="154" applyNumberFormat="1" applyFont="1" applyFill="1" applyBorder="1" applyAlignment="1">
      <alignment horizontal="center"/>
    </xf>
    <xf numFmtId="1" fontId="10" fillId="0" borderId="0" xfId="154" applyNumberFormat="1" applyFont="1" applyBorder="1"/>
    <xf numFmtId="1" fontId="45" fillId="0" borderId="0" xfId="154" applyNumberFormat="1" applyFont="1" applyBorder="1"/>
    <xf numFmtId="1" fontId="10" fillId="0" borderId="10" xfId="154" applyNumberFormat="1" applyFont="1" applyFill="1" applyBorder="1"/>
    <xf numFmtId="1" fontId="5" fillId="0" borderId="16" xfId="154" applyNumberFormat="1" applyFont="1" applyFill="1" applyBorder="1" applyAlignment="1">
      <alignment horizontal="center"/>
    </xf>
    <xf numFmtId="1" fontId="5" fillId="0" borderId="11" xfId="154" applyNumberFormat="1" applyFont="1" applyFill="1" applyBorder="1" applyAlignment="1"/>
    <xf numFmtId="1" fontId="5" fillId="0" borderId="13" xfId="154" applyNumberFormat="1" applyFont="1" applyFill="1" applyBorder="1"/>
    <xf numFmtId="1" fontId="5" fillId="0" borderId="17" xfId="154" applyNumberFormat="1" applyFont="1" applyFill="1" applyBorder="1"/>
    <xf numFmtId="1" fontId="5" fillId="0" borderId="10" xfId="154" applyNumberFormat="1" applyFont="1" applyFill="1" applyBorder="1"/>
    <xf numFmtId="1" fontId="45" fillId="0" borderId="11" xfId="154" applyNumberFormat="1" applyFont="1" applyFill="1" applyBorder="1"/>
    <xf numFmtId="1" fontId="45" fillId="0" borderId="0" xfId="154" applyNumberFormat="1" applyFont="1" applyFill="1" applyBorder="1" applyAlignment="1">
      <alignment horizontal="center"/>
    </xf>
    <xf numFmtId="1" fontId="45" fillId="0" borderId="12" xfId="154" applyNumberFormat="1" applyFont="1" applyFill="1" applyBorder="1"/>
    <xf numFmtId="1" fontId="45" fillId="0" borderId="13" xfId="154" applyNumberFormat="1" applyFont="1" applyFill="1" applyBorder="1"/>
    <xf numFmtId="1" fontId="45" fillId="0" borderId="17" xfId="154" applyNumberFormat="1" applyFont="1" applyFill="1" applyBorder="1" applyAlignment="1">
      <alignment horizontal="center"/>
    </xf>
    <xf numFmtId="1" fontId="45" fillId="0" borderId="14" xfId="154" applyNumberFormat="1" applyFont="1" applyFill="1" applyBorder="1"/>
    <xf numFmtId="1" fontId="5" fillId="27" borderId="0" xfId="114" applyNumberFormat="1" applyFont="1" applyFill="1" applyBorder="1" applyAlignment="1">
      <alignment horizontal="center"/>
    </xf>
    <xf numFmtId="1" fontId="5" fillId="27" borderId="17" xfId="114" applyNumberFormat="1" applyFont="1" applyFill="1" applyBorder="1" applyAlignment="1">
      <alignment horizontal="center"/>
    </xf>
    <xf numFmtId="1" fontId="5" fillId="0" borderId="13" xfId="154" applyNumberFormat="1" applyFont="1" applyFill="1" applyBorder="1" applyAlignment="1"/>
    <xf numFmtId="2" fontId="5" fillId="0" borderId="0" xfId="154" applyNumberFormat="1" applyFont="1" applyFill="1" applyBorder="1"/>
    <xf numFmtId="1" fontId="51" fillId="0" borderId="0" xfId="154" applyNumberFormat="1" applyFont="1" applyFill="1" applyBorder="1"/>
    <xf numFmtId="0" fontId="9" fillId="28" borderId="0" xfId="0" applyFont="1" applyFill="1" applyAlignment="1">
      <alignment horizontal="center"/>
    </xf>
    <xf numFmtId="0" fontId="9" fillId="28" borderId="0" xfId="0" applyFont="1" applyFill="1" applyAlignment="1">
      <alignment horizontal="left"/>
    </xf>
    <xf numFmtId="0" fontId="9" fillId="28" borderId="0" xfId="0" applyFont="1" applyFill="1"/>
    <xf numFmtId="0" fontId="46" fillId="28" borderId="0" xfId="0" applyFont="1" applyFill="1" applyAlignment="1">
      <alignment horizontal="left"/>
    </xf>
    <xf numFmtId="2" fontId="5" fillId="0" borderId="0" xfId="115" applyNumberFormat="1" applyFont="1" applyFill="1" applyBorder="1" applyAlignment="1">
      <alignment horizontal="center"/>
    </xf>
    <xf numFmtId="0" fontId="5" fillId="28" borderId="0" xfId="154" applyFont="1" applyFill="1"/>
    <xf numFmtId="0" fontId="5" fillId="28" borderId="0" xfId="154" applyFont="1" applyFill="1" applyAlignment="1">
      <alignment horizontal="left"/>
    </xf>
    <xf numFmtId="0" fontId="5" fillId="28" borderId="0" xfId="154" applyFont="1" applyFill="1" applyAlignment="1">
      <alignment horizontal="center"/>
    </xf>
    <xf numFmtId="0" fontId="46" fillId="28" borderId="0" xfId="154" applyFont="1" applyFill="1"/>
    <xf numFmtId="0" fontId="47" fillId="28" borderId="0" xfId="154" applyFont="1" applyFill="1"/>
    <xf numFmtId="0" fontId="46" fillId="28" borderId="0" xfId="154" applyFont="1" applyFill="1" applyAlignment="1">
      <alignment horizontal="left"/>
    </xf>
    <xf numFmtId="0" fontId="46" fillId="0" borderId="0" xfId="154" applyFont="1" applyFill="1" applyBorder="1"/>
    <xf numFmtId="0" fontId="10" fillId="0" borderId="0" xfId="110" applyFont="1" applyFill="1" applyBorder="1"/>
    <xf numFmtId="1" fontId="5" fillId="27" borderId="11" xfId="154" applyNumberFormat="1" applyFont="1" applyFill="1" applyBorder="1"/>
    <xf numFmtId="1" fontId="5" fillId="0" borderId="13" xfId="154" applyNumberFormat="1" applyFont="1" applyFill="1" applyBorder="1" applyAlignment="1">
      <alignment horizontal="center"/>
    </xf>
    <xf numFmtId="1" fontId="5" fillId="0" borderId="0" xfId="154" applyNumberFormat="1" applyFont="1" applyBorder="1"/>
    <xf numFmtId="1" fontId="5" fillId="0" borderId="0" xfId="154" applyNumberFormat="1" applyFont="1" applyFill="1" applyBorder="1" applyAlignment="1">
      <alignment horizontal="center"/>
    </xf>
    <xf numFmtId="1" fontId="5" fillId="0" borderId="0" xfId="154" applyNumberFormat="1" applyFont="1" applyBorder="1" applyAlignment="1">
      <alignment horizontal="center"/>
    </xf>
    <xf numFmtId="1" fontId="5" fillId="0" borderId="17" xfId="154" applyNumberFormat="1" applyFont="1" applyFill="1" applyBorder="1" applyAlignment="1">
      <alignment horizontal="center"/>
    </xf>
    <xf numFmtId="1" fontId="5" fillId="0" borderId="0" xfId="115" applyNumberFormat="1" applyFont="1" applyFill="1" applyBorder="1" applyAlignment="1">
      <alignment horizontal="center"/>
    </xf>
    <xf numFmtId="1" fontId="5" fillId="0" borderId="12" xfId="154" applyNumberFormat="1" applyFont="1" applyBorder="1" applyAlignment="1">
      <alignment horizontal="center"/>
    </xf>
    <xf numFmtId="1" fontId="5" fillId="27" borderId="0" xfId="154" applyNumberFormat="1" applyFont="1" applyFill="1" applyBorder="1" applyAlignment="1">
      <alignment horizontal="center"/>
    </xf>
    <xf numFmtId="1" fontId="5" fillId="27" borderId="17" xfId="154" applyNumberFormat="1" applyFont="1" applyFill="1" applyBorder="1" applyAlignment="1">
      <alignment horizontal="center"/>
    </xf>
    <xf numFmtId="3" fontId="8" fillId="0" borderId="0" xfId="110" applyNumberFormat="1" applyFont="1" applyFill="1" applyBorder="1" applyAlignment="1">
      <alignment horizontal="center"/>
    </xf>
    <xf numFmtId="2" fontId="5" fillId="0" borderId="17" xfId="154" applyNumberFormat="1" applyFont="1" applyFill="1" applyBorder="1" applyAlignment="1">
      <alignment horizontal="center"/>
    </xf>
    <xf numFmtId="1" fontId="5" fillId="0" borderId="0" xfId="154" applyNumberFormat="1" applyFont="1" applyFill="1" applyBorder="1" applyAlignment="1">
      <alignment horizontal="center"/>
    </xf>
    <xf numFmtId="1" fontId="5" fillId="0" borderId="0" xfId="154" applyNumberFormat="1" applyFont="1" applyBorder="1" applyAlignment="1">
      <alignment horizontal="center"/>
    </xf>
    <xf numFmtId="1" fontId="5" fillId="0" borderId="17" xfId="154" applyNumberFormat="1" applyFont="1" applyFill="1" applyBorder="1" applyAlignment="1">
      <alignment horizontal="center"/>
    </xf>
    <xf numFmtId="1" fontId="5" fillId="0" borderId="12" xfId="154" applyNumberFormat="1" applyFont="1" applyBorder="1" applyAlignment="1">
      <alignment horizontal="center"/>
    </xf>
    <xf numFmtId="3" fontId="8" fillId="0" borderId="0" xfId="110" applyNumberFormat="1" applyFont="1" applyFill="1" applyBorder="1" applyAlignment="1">
      <alignment horizontal="center"/>
    </xf>
    <xf numFmtId="1" fontId="5" fillId="0" borderId="0" xfId="154" applyNumberFormat="1" applyFont="1" applyBorder="1"/>
    <xf numFmtId="1" fontId="5" fillId="0" borderId="0" xfId="154" applyNumberFormat="1" applyFont="1" applyFill="1" applyBorder="1" applyAlignment="1">
      <alignment horizontal="center"/>
    </xf>
    <xf numFmtId="1" fontId="5" fillId="0" borderId="0" xfId="154" applyNumberFormat="1" applyFont="1" applyBorder="1" applyAlignment="1">
      <alignment horizontal="center"/>
    </xf>
    <xf numFmtId="1" fontId="5" fillId="0" borderId="17" xfId="154" applyNumberFormat="1" applyFont="1" applyFill="1" applyBorder="1" applyAlignment="1">
      <alignment horizontal="center"/>
    </xf>
    <xf numFmtId="1" fontId="5" fillId="0" borderId="0" xfId="115" applyNumberFormat="1" applyFont="1" applyFill="1" applyBorder="1" applyAlignment="1">
      <alignment horizontal="center"/>
    </xf>
    <xf numFmtId="1" fontId="5" fillId="0" borderId="12" xfId="154" applyNumberFormat="1" applyFont="1" applyBorder="1" applyAlignment="1">
      <alignment horizontal="center"/>
    </xf>
    <xf numFmtId="1" fontId="5" fillId="0" borderId="14" xfId="154" applyNumberFormat="1" applyFont="1" applyBorder="1" applyAlignment="1">
      <alignment horizontal="center"/>
    </xf>
    <xf numFmtId="3" fontId="8" fillId="0" borderId="0" xfId="110" applyNumberFormat="1" applyFont="1" applyFill="1" applyBorder="1" applyAlignment="1">
      <alignment horizontal="center"/>
    </xf>
    <xf numFmtId="1" fontId="5" fillId="0" borderId="0" xfId="154" applyNumberFormat="1" applyFont="1" applyFill="1" applyBorder="1" applyAlignment="1">
      <alignment horizontal="center"/>
    </xf>
    <xf numFmtId="1" fontId="5" fillId="0" borderId="17" xfId="154" applyNumberFormat="1" applyFont="1" applyFill="1" applyBorder="1" applyAlignment="1">
      <alignment horizontal="center"/>
    </xf>
    <xf numFmtId="3" fontId="8" fillId="0" borderId="0" xfId="110" applyNumberFormat="1" applyFont="1" applyFill="1" applyBorder="1" applyAlignment="1">
      <alignment horizontal="center"/>
    </xf>
    <xf numFmtId="1" fontId="5" fillId="0" borderId="0" xfId="154" applyNumberFormat="1" applyFont="1" applyFill="1" applyBorder="1" applyAlignment="1">
      <alignment horizontal="center"/>
    </xf>
    <xf numFmtId="1" fontId="5" fillId="0" borderId="0" xfId="154" applyNumberFormat="1" applyFont="1" applyBorder="1" applyAlignment="1">
      <alignment horizontal="center"/>
    </xf>
    <xf numFmtId="1" fontId="5" fillId="0" borderId="17" xfId="154" applyNumberFormat="1" applyFont="1" applyFill="1" applyBorder="1" applyAlignment="1">
      <alignment horizontal="center"/>
    </xf>
    <xf numFmtId="1" fontId="5" fillId="0" borderId="0" xfId="115" applyNumberFormat="1" applyFont="1" applyFill="1" applyBorder="1" applyAlignment="1">
      <alignment horizontal="center"/>
    </xf>
    <xf numFmtId="1" fontId="5" fillId="0" borderId="12" xfId="154" applyNumberFormat="1" applyFont="1" applyBorder="1" applyAlignment="1">
      <alignment horizontal="center"/>
    </xf>
    <xf numFmtId="1" fontId="5" fillId="0" borderId="14" xfId="154" applyNumberFormat="1" applyFont="1" applyBorder="1" applyAlignment="1">
      <alignment horizontal="center"/>
    </xf>
    <xf numFmtId="3" fontId="8" fillId="0" borderId="0" xfId="110" applyNumberFormat="1" applyFont="1" applyFill="1" applyBorder="1" applyAlignment="1">
      <alignment horizontal="center"/>
    </xf>
    <xf numFmtId="3" fontId="8" fillId="0" borderId="17" xfId="110" applyNumberFormat="1" applyFont="1" applyFill="1" applyBorder="1" applyAlignment="1">
      <alignment horizontal="center"/>
    </xf>
    <xf numFmtId="1" fontId="5" fillId="0" borderId="0" xfId="154" applyNumberFormat="1" applyFont="1" applyBorder="1"/>
    <xf numFmtId="1" fontId="5" fillId="0" borderId="0" xfId="154" applyNumberFormat="1" applyFont="1" applyFill="1" applyBorder="1" applyAlignment="1">
      <alignment horizontal="center"/>
    </xf>
    <xf numFmtId="1" fontId="5" fillId="0" borderId="0" xfId="154" applyNumberFormat="1" applyFont="1" applyBorder="1" applyAlignment="1">
      <alignment horizontal="center"/>
    </xf>
    <xf numFmtId="1" fontId="5" fillId="0" borderId="12" xfId="154" applyNumberFormat="1" applyFont="1" applyBorder="1" applyAlignment="1">
      <alignment horizontal="center"/>
    </xf>
    <xf numFmtId="1" fontId="5" fillId="0" borderId="14" xfId="154" applyNumberFormat="1" applyFont="1" applyBorder="1" applyAlignment="1">
      <alignment horizontal="center"/>
    </xf>
    <xf numFmtId="1" fontId="5" fillId="0" borderId="0" xfId="154" applyNumberFormat="1" applyFont="1" applyBorder="1"/>
    <xf numFmtId="1" fontId="5" fillId="0" borderId="0" xfId="154" applyNumberFormat="1" applyFont="1" applyFill="1" applyBorder="1" applyAlignment="1">
      <alignment horizontal="center"/>
    </xf>
    <xf numFmtId="1" fontId="5" fillId="0" borderId="17" xfId="154" applyNumberFormat="1" applyFont="1" applyFill="1" applyBorder="1" applyAlignment="1">
      <alignment horizontal="center"/>
    </xf>
    <xf numFmtId="1" fontId="5" fillId="0" borderId="12" xfId="154" applyNumberFormat="1" applyFont="1" applyBorder="1" applyAlignment="1">
      <alignment horizontal="center"/>
    </xf>
    <xf numFmtId="1" fontId="8" fillId="0" borderId="0" xfId="154" applyNumberFormat="1" applyFont="1" applyFill="1" applyBorder="1" applyAlignment="1">
      <alignment horizontal="center"/>
    </xf>
    <xf numFmtId="1" fontId="5" fillId="0" borderId="14" xfId="154" applyNumberFormat="1" applyFont="1" applyBorder="1" applyAlignment="1">
      <alignment horizontal="center"/>
    </xf>
    <xf numFmtId="3" fontId="8" fillId="0" borderId="0" xfId="110" applyNumberFormat="1" applyFont="1" applyFill="1" applyBorder="1" applyAlignment="1">
      <alignment horizontal="center"/>
    </xf>
    <xf numFmtId="3" fontId="8" fillId="0" borderId="17" xfId="110" applyNumberFormat="1" applyFont="1" applyFill="1" applyBorder="1" applyAlignment="1">
      <alignment horizontal="center"/>
    </xf>
    <xf numFmtId="1" fontId="5" fillId="0" borderId="0" xfId="154" applyNumberFormat="1" applyFont="1" applyFill="1" applyBorder="1" applyAlignment="1">
      <alignment horizontal="center"/>
    </xf>
    <xf numFmtId="3" fontId="8" fillId="0" borderId="0" xfId="110" applyNumberFormat="1" applyFont="1" applyFill="1" applyBorder="1" applyAlignment="1">
      <alignment horizontal="center"/>
    </xf>
    <xf numFmtId="3" fontId="8" fillId="0" borderId="17" xfId="110" applyNumberFormat="1" applyFont="1" applyFill="1" applyBorder="1" applyAlignment="1">
      <alignment horizontal="center"/>
    </xf>
    <xf numFmtId="1" fontId="5" fillId="0" borderId="0" xfId="154" applyNumberFormat="1" applyFont="1" applyBorder="1"/>
    <xf numFmtId="1" fontId="5" fillId="0" borderId="0" xfId="154" applyNumberFormat="1" applyFont="1" applyFill="1" applyBorder="1" applyAlignment="1">
      <alignment horizontal="center"/>
    </xf>
    <xf numFmtId="1" fontId="5" fillId="0" borderId="0" xfId="154" applyNumberFormat="1" applyFont="1" applyBorder="1" applyAlignment="1">
      <alignment horizontal="center"/>
    </xf>
    <xf numFmtId="1" fontId="5" fillId="0" borderId="17" xfId="154" applyNumberFormat="1" applyFont="1" applyFill="1" applyBorder="1" applyAlignment="1">
      <alignment horizontal="center"/>
    </xf>
    <xf numFmtId="1" fontId="5" fillId="0" borderId="12" xfId="154" applyNumberFormat="1" applyFont="1" applyBorder="1" applyAlignment="1">
      <alignment horizontal="center"/>
    </xf>
    <xf numFmtId="3" fontId="8" fillId="0" borderId="0" xfId="110" applyNumberFormat="1" applyFont="1" applyFill="1" applyBorder="1" applyAlignment="1">
      <alignment horizontal="center"/>
    </xf>
    <xf numFmtId="3" fontId="8" fillId="0" borderId="17" xfId="110" applyNumberFormat="1" applyFont="1" applyFill="1" applyBorder="1" applyAlignment="1">
      <alignment horizontal="center"/>
    </xf>
    <xf numFmtId="0" fontId="5" fillId="0" borderId="15" xfId="110" applyFont="1" applyBorder="1" applyAlignment="1">
      <alignment horizontal="center"/>
    </xf>
    <xf numFmtId="3" fontId="8" fillId="0" borderId="0" xfId="110" applyNumberFormat="1" applyFont="1" applyFill="1" applyBorder="1" applyAlignment="1">
      <alignment horizontal="center"/>
    </xf>
    <xf numFmtId="3" fontId="8" fillId="0" borderId="17" xfId="110" applyNumberFormat="1" applyFont="1" applyFill="1" applyBorder="1" applyAlignment="1">
      <alignment horizontal="center"/>
    </xf>
    <xf numFmtId="1" fontId="5" fillId="0" borderId="0" xfId="154" applyNumberFormat="1" applyFont="1" applyFill="1" applyBorder="1" applyAlignment="1">
      <alignment horizontal="center"/>
    </xf>
    <xf numFmtId="1" fontId="5" fillId="0" borderId="0" xfId="154" applyNumberFormat="1" applyFont="1" applyBorder="1" applyAlignment="1">
      <alignment horizontal="center"/>
    </xf>
    <xf numFmtId="1" fontId="5" fillId="0" borderId="17" xfId="154" applyNumberFormat="1" applyFont="1" applyBorder="1" applyAlignment="1">
      <alignment horizontal="center"/>
    </xf>
    <xf numFmtId="1" fontId="5" fillId="0" borderId="17" xfId="154" applyNumberFormat="1" applyFont="1" applyFill="1" applyBorder="1" applyAlignment="1">
      <alignment horizontal="center"/>
    </xf>
    <xf numFmtId="1" fontId="9" fillId="27" borderId="0" xfId="0" applyNumberFormat="1" applyFont="1" applyFill="1" applyBorder="1" applyAlignment="1">
      <alignment horizontal="center"/>
    </xf>
    <xf numFmtId="3" fontId="5" fillId="27" borderId="17" xfId="110" applyNumberFormat="1" applyFont="1" applyFill="1" applyBorder="1" applyAlignment="1">
      <alignment horizontal="center"/>
    </xf>
    <xf numFmtId="3" fontId="5" fillId="27" borderId="0" xfId="110" applyNumberFormat="1" applyFont="1" applyFill="1" applyBorder="1" applyAlignment="1">
      <alignment horizontal="center"/>
    </xf>
    <xf numFmtId="3" fontId="8" fillId="27" borderId="17" xfId="110" applyNumberFormat="1" applyFont="1" applyFill="1" applyBorder="1" applyAlignment="1">
      <alignment horizontal="center"/>
    </xf>
    <xf numFmtId="3" fontId="8" fillId="27" borderId="0" xfId="110" applyNumberFormat="1" applyFont="1" applyFill="1" applyBorder="1" applyAlignment="1">
      <alignment horizontal="center"/>
    </xf>
    <xf numFmtId="0" fontId="10" fillId="0" borderId="0" xfId="110" applyFont="1" applyFill="1" applyBorder="1"/>
    <xf numFmtId="3" fontId="8" fillId="0" borderId="12" xfId="110" applyNumberFormat="1" applyFont="1" applyFill="1" applyBorder="1" applyAlignment="1">
      <alignment horizontal="center"/>
    </xf>
    <xf numFmtId="1" fontId="5" fillId="27" borderId="0" xfId="154" applyNumberFormat="1" applyFont="1" applyFill="1" applyBorder="1" applyAlignment="1">
      <alignment horizontal="center"/>
    </xf>
    <xf numFmtId="3" fontId="8" fillId="0" borderId="0" xfId="110" applyNumberFormat="1" applyFont="1" applyFill="1" applyBorder="1" applyAlignment="1">
      <alignment horizontal="center"/>
    </xf>
    <xf numFmtId="3" fontId="8" fillId="0" borderId="0" xfId="110" applyNumberFormat="1" applyFont="1" applyFill="1" applyBorder="1" applyAlignment="1">
      <alignment horizontal="center"/>
    </xf>
    <xf numFmtId="3" fontId="8" fillId="0" borderId="0" xfId="110" applyNumberFormat="1" applyFont="1" applyFill="1" applyBorder="1" applyAlignment="1">
      <alignment horizontal="center"/>
    </xf>
    <xf numFmtId="3" fontId="8" fillId="0" borderId="0" xfId="110" applyNumberFormat="1" applyFont="1" applyFill="1" applyBorder="1" applyAlignment="1">
      <alignment horizontal="center"/>
    </xf>
    <xf numFmtId="3" fontId="8" fillId="0" borderId="0" xfId="110" applyNumberFormat="1" applyFont="1" applyFill="1" applyBorder="1" applyAlignment="1">
      <alignment horizontal="center"/>
    </xf>
    <xf numFmtId="3" fontId="8" fillId="0" borderId="0" xfId="110" applyNumberFormat="1" applyFont="1" applyFill="1" applyBorder="1" applyAlignment="1">
      <alignment horizontal="center"/>
    </xf>
    <xf numFmtId="3" fontId="8" fillId="0" borderId="17" xfId="110" applyNumberFormat="1" applyFont="1" applyFill="1" applyBorder="1" applyAlignment="1">
      <alignment horizontal="center"/>
    </xf>
    <xf numFmtId="3" fontId="8" fillId="0" borderId="0" xfId="110" applyNumberFormat="1" applyFont="1" applyFill="1" applyBorder="1" applyAlignment="1">
      <alignment horizontal="center"/>
    </xf>
    <xf numFmtId="3" fontId="8" fillId="0" borderId="17" xfId="110" applyNumberFormat="1" applyFont="1" applyFill="1" applyBorder="1" applyAlignment="1">
      <alignment horizontal="center"/>
    </xf>
    <xf numFmtId="0" fontId="9" fillId="27" borderId="0" xfId="0" applyFont="1" applyFill="1" applyBorder="1" applyAlignment="1">
      <alignment horizontal="center"/>
    </xf>
    <xf numFmtId="3" fontId="8" fillId="0" borderId="0" xfId="110" applyNumberFormat="1" applyFont="1" applyFill="1" applyBorder="1" applyAlignment="1">
      <alignment horizontal="center"/>
    </xf>
    <xf numFmtId="3" fontId="8" fillId="0" borderId="17" xfId="110" applyNumberFormat="1" applyFont="1" applyFill="1" applyBorder="1" applyAlignment="1">
      <alignment horizontal="center"/>
    </xf>
    <xf numFmtId="3" fontId="8" fillId="0" borderId="0" xfId="110" applyNumberFormat="1" applyFont="1" applyFill="1" applyBorder="1" applyAlignment="1">
      <alignment horizontal="center"/>
    </xf>
    <xf numFmtId="3" fontId="8" fillId="0" borderId="17" xfId="110" applyNumberFormat="1" applyFont="1" applyFill="1" applyBorder="1" applyAlignment="1">
      <alignment horizontal="center"/>
    </xf>
    <xf numFmtId="0" fontId="9" fillId="29" borderId="10" xfId="0" applyFont="1" applyFill="1" applyBorder="1" applyAlignment="1">
      <alignment horizontal="left"/>
    </xf>
    <xf numFmtId="0" fontId="9" fillId="29" borderId="15" xfId="0" applyFont="1" applyFill="1" applyBorder="1" applyAlignment="1">
      <alignment horizontal="left"/>
    </xf>
    <xf numFmtId="0" fontId="5" fillId="29" borderId="15" xfId="0" applyFont="1" applyFill="1" applyBorder="1" applyAlignment="1">
      <alignment horizontal="center"/>
    </xf>
    <xf numFmtId="0" fontId="5" fillId="29" borderId="16" xfId="0" applyFont="1" applyFill="1" applyBorder="1" applyAlignment="1">
      <alignment horizontal="left"/>
    </xf>
    <xf numFmtId="0" fontId="9" fillId="29" borderId="13" xfId="0" applyFont="1" applyFill="1" applyBorder="1" applyAlignment="1">
      <alignment horizontal="left"/>
    </xf>
    <xf numFmtId="0" fontId="9" fillId="29" borderId="17" xfId="0" applyFont="1" applyFill="1" applyBorder="1" applyAlignment="1">
      <alignment horizontal="left"/>
    </xf>
    <xf numFmtId="0" fontId="9" fillId="29" borderId="17" xfId="0" applyFont="1" applyFill="1" applyBorder="1" applyAlignment="1">
      <alignment horizontal="center"/>
    </xf>
    <xf numFmtId="0" fontId="9" fillId="29" borderId="14" xfId="0" applyFont="1" applyFill="1" applyBorder="1" applyAlignment="1">
      <alignment horizontal="left"/>
    </xf>
    <xf numFmtId="0" fontId="9" fillId="29" borderId="11" xfId="0" applyFont="1" applyFill="1" applyBorder="1" applyAlignment="1">
      <alignment horizontal="left"/>
    </xf>
    <xf numFmtId="0" fontId="9" fillId="29" borderId="0" xfId="0" applyFont="1" applyFill="1" applyBorder="1" applyAlignment="1">
      <alignment horizontal="left"/>
    </xf>
    <xf numFmtId="0" fontId="5" fillId="29" borderId="0" xfId="0" applyFont="1" applyFill="1" applyBorder="1" applyAlignment="1">
      <alignment horizontal="center"/>
    </xf>
    <xf numFmtId="0" fontId="5" fillId="29" borderId="0" xfId="0" applyFont="1" applyFill="1" applyBorder="1" applyAlignment="1">
      <alignment horizontal="left"/>
    </xf>
    <xf numFmtId="0" fontId="5" fillId="29" borderId="12" xfId="0" applyFont="1" applyFill="1" applyBorder="1" applyAlignment="1">
      <alignment horizontal="left"/>
    </xf>
    <xf numFmtId="0" fontId="9" fillId="29" borderId="12" xfId="0" applyFont="1" applyFill="1" applyBorder="1" applyAlignment="1">
      <alignment horizontal="left"/>
    </xf>
    <xf numFmtId="0" fontId="5" fillId="29" borderId="11" xfId="0" applyFont="1" applyFill="1" applyBorder="1" applyAlignment="1">
      <alignment horizontal="left"/>
    </xf>
    <xf numFmtId="164" fontId="5" fillId="29" borderId="12" xfId="0" applyNumberFormat="1" applyFont="1" applyFill="1" applyBorder="1" applyAlignment="1">
      <alignment horizontal="left"/>
    </xf>
    <xf numFmtId="164" fontId="9" fillId="29" borderId="0" xfId="0" applyNumberFormat="1" applyFont="1" applyFill="1" applyBorder="1" applyAlignment="1">
      <alignment horizontal="left"/>
    </xf>
    <xf numFmtId="164" fontId="5" fillId="29" borderId="0" xfId="0" applyNumberFormat="1" applyFont="1" applyFill="1" applyBorder="1" applyAlignment="1">
      <alignment horizontal="left"/>
    </xf>
    <xf numFmtId="164" fontId="9" fillId="29" borderId="12" xfId="0" applyNumberFormat="1" applyFont="1" applyFill="1" applyBorder="1" applyAlignment="1">
      <alignment horizontal="left"/>
    </xf>
    <xf numFmtId="0" fontId="10" fillId="29" borderId="11" xfId="0" applyFont="1" applyFill="1" applyBorder="1" applyAlignment="1">
      <alignment horizontal="left"/>
    </xf>
    <xf numFmtId="3" fontId="9" fillId="29" borderId="0" xfId="0" applyNumberFormat="1" applyFont="1" applyFill="1" applyBorder="1" applyAlignment="1">
      <alignment horizontal="center"/>
    </xf>
    <xf numFmtId="0" fontId="9" fillId="29" borderId="0" xfId="0" applyFont="1" applyFill="1" applyBorder="1" applyAlignment="1">
      <alignment horizontal="center"/>
    </xf>
    <xf numFmtId="0" fontId="9" fillId="29" borderId="11" xfId="0" applyFont="1" applyFill="1" applyBorder="1"/>
    <xf numFmtId="0" fontId="9" fillId="29" borderId="0" xfId="0" applyFont="1" applyFill="1" applyBorder="1"/>
    <xf numFmtId="0" fontId="5" fillId="29" borderId="11" xfId="0" applyFont="1" applyFill="1" applyBorder="1"/>
    <xf numFmtId="0" fontId="5" fillId="29" borderId="0" xfId="0" applyFont="1" applyFill="1" applyBorder="1"/>
    <xf numFmtId="0" fontId="9" fillId="29" borderId="13" xfId="0" applyFont="1" applyFill="1" applyBorder="1"/>
    <xf numFmtId="0" fontId="5" fillId="29" borderId="17" xfId="0" applyFont="1" applyFill="1" applyBorder="1" applyAlignment="1">
      <alignment horizontal="left"/>
    </xf>
    <xf numFmtId="0" fontId="5" fillId="29" borderId="17" xfId="0" applyFont="1" applyFill="1" applyBorder="1"/>
  </cellXfs>
  <cellStyles count="207">
    <cellStyle name="20 % - zvýraznenie1" xfId="1"/>
    <cellStyle name="20 % - zvýraznenie2" xfId="2"/>
    <cellStyle name="20 % - zvýraznenie3" xfId="3"/>
    <cellStyle name="20 % - zvýraznenie4" xfId="4"/>
    <cellStyle name="20 % - zvýraznenie5" xfId="5"/>
    <cellStyle name="20 % - zvýraznenie6" xfId="6"/>
    <cellStyle name="20% - 1. jelölőszín" xfId="7"/>
    <cellStyle name="20% - 2. jelölőszín" xfId="8"/>
    <cellStyle name="20% - 3. jelölőszín" xfId="9"/>
    <cellStyle name="20% - 4. jelölőszín" xfId="10"/>
    <cellStyle name="20% - 5. jelölőszín" xfId="11"/>
    <cellStyle name="20% - 6. jelölőszín" xfId="12"/>
    <cellStyle name="20% - Dekorfärg1" xfId="13"/>
    <cellStyle name="20% - Dekorfärg1 2" xfId="14"/>
    <cellStyle name="20% - Dekorfärg2" xfId="15"/>
    <cellStyle name="20% - Dekorfärg2 2" xfId="16"/>
    <cellStyle name="20% - Dekorfärg3" xfId="17"/>
    <cellStyle name="20% - Dekorfärg3 2" xfId="18"/>
    <cellStyle name="20% - Dekorfärg4" xfId="19"/>
    <cellStyle name="20% - Dekorfärg4 2" xfId="20"/>
    <cellStyle name="20% - Dekorfärg5" xfId="21"/>
    <cellStyle name="20% - Dekorfärg6" xfId="22"/>
    <cellStyle name="40 % - zvýraznenie1" xfId="23"/>
    <cellStyle name="40 % - zvýraznenie2" xfId="24"/>
    <cellStyle name="40 % - zvýraznenie3" xfId="25"/>
    <cellStyle name="40 % - zvýraznenie4" xfId="26"/>
    <cellStyle name="40 % - zvýraznenie5" xfId="27"/>
    <cellStyle name="40 % - zvýraznenie6" xfId="28"/>
    <cellStyle name="40% - 1. jelölőszín" xfId="29"/>
    <cellStyle name="40% - 2. jelölőszín" xfId="30"/>
    <cellStyle name="40% - 3. jelölőszín" xfId="31"/>
    <cellStyle name="40% - 4. jelölőszín" xfId="32"/>
    <cellStyle name="40% - 5. jelölőszín" xfId="33"/>
    <cellStyle name="40% - 6. jelölőszín" xfId="34"/>
    <cellStyle name="40% - Dekorfärg1" xfId="35"/>
    <cellStyle name="40% - Dekorfärg2" xfId="36"/>
    <cellStyle name="40% - Dekorfärg3" xfId="37"/>
    <cellStyle name="40% - Dekorfärg3 2" xfId="38"/>
    <cellStyle name="40% - Dekorfärg4" xfId="39"/>
    <cellStyle name="40% - Dekorfärg5" xfId="40"/>
    <cellStyle name="40% - Dekorfärg6" xfId="41"/>
    <cellStyle name="60 % - zvýraznenie1" xfId="42"/>
    <cellStyle name="60 % - zvýraznenie2" xfId="43"/>
    <cellStyle name="60 % - zvýraznenie3" xfId="44"/>
    <cellStyle name="60 % - zvýraznenie4" xfId="45"/>
    <cellStyle name="60 % - zvýraznenie5" xfId="46"/>
    <cellStyle name="60 % - zvýraznenie6" xfId="47"/>
    <cellStyle name="60% - 1. jelölőszín" xfId="48"/>
    <cellStyle name="60% - 2. jelölőszín" xfId="49"/>
    <cellStyle name="60% - 3. jelölőszín" xfId="50"/>
    <cellStyle name="60% - 4. jelölőszín" xfId="51"/>
    <cellStyle name="60% - 5. jelölőszín" xfId="52"/>
    <cellStyle name="60% - 6. jelölőszín" xfId="53"/>
    <cellStyle name="60% - Dekorfärg1" xfId="54"/>
    <cellStyle name="60% - Dekorfärg2" xfId="55"/>
    <cellStyle name="60% - Dekorfärg3" xfId="56"/>
    <cellStyle name="60% - Dekorfärg3 2" xfId="57"/>
    <cellStyle name="60% - Dekorfärg4" xfId="58"/>
    <cellStyle name="60% - Dekorfärg4 2" xfId="59"/>
    <cellStyle name="60% - Dekorfärg5" xfId="60"/>
    <cellStyle name="60% - Dekorfärg6" xfId="61"/>
    <cellStyle name="60% - Dekorfärg6 2" xfId="62"/>
    <cellStyle name="Anteckning" xfId="63"/>
    <cellStyle name="Anteckning 2" xfId="64"/>
    <cellStyle name="Beräkning" xfId="65"/>
    <cellStyle name="Bevitel" xfId="66"/>
    <cellStyle name="Bra" xfId="67"/>
    <cellStyle name="Cím" xfId="68"/>
    <cellStyle name="Címsor 1" xfId="69"/>
    <cellStyle name="Címsor 2" xfId="70"/>
    <cellStyle name="Címsor 3" xfId="71"/>
    <cellStyle name="Címsor 4" xfId="72"/>
    <cellStyle name="Comma 2" xfId="150"/>
    <cellStyle name="Dålig" xfId="73"/>
    <cellStyle name="Dobrá" xfId="74"/>
    <cellStyle name="Ellenőrzőcella" xfId="75"/>
    <cellStyle name="Färg1" xfId="76"/>
    <cellStyle name="Färg2" xfId="77"/>
    <cellStyle name="Färg3" xfId="78"/>
    <cellStyle name="Färg4" xfId="79"/>
    <cellStyle name="Färg5" xfId="80"/>
    <cellStyle name="Färg6" xfId="81"/>
    <cellStyle name="Figyelmeztetés" xfId="82"/>
    <cellStyle name="Förklarande text" xfId="83"/>
    <cellStyle name="Hivatkozott cella" xfId="84"/>
    <cellStyle name="Hyperlink" xfId="171" builtinId="8"/>
    <cellStyle name="Indata" xfId="85"/>
    <cellStyle name="Jegyzet" xfId="86"/>
    <cellStyle name="Jelölőszín (1)" xfId="87"/>
    <cellStyle name="Jelölőszín (2)" xfId="88"/>
    <cellStyle name="Jelölőszín (3)" xfId="89"/>
    <cellStyle name="Jelölőszín (4)" xfId="90"/>
    <cellStyle name="Jelölőszín (5)" xfId="91"/>
    <cellStyle name="Jelölőszín (6)" xfId="92"/>
    <cellStyle name="Jó" xfId="93"/>
    <cellStyle name="Kimenet" xfId="94"/>
    <cellStyle name="Kontrollcell" xfId="95"/>
    <cellStyle name="Kontrolná bunka" xfId="96"/>
    <cellStyle name="Länkad cell" xfId="97"/>
    <cellStyle name="Magyarázó szöveg" xfId="98"/>
    <cellStyle name="Nadpis 1" xfId="99"/>
    <cellStyle name="Nadpis 2" xfId="100"/>
    <cellStyle name="Nadpis 3" xfId="101"/>
    <cellStyle name="Nadpis 4" xfId="102"/>
    <cellStyle name="Neutrálna" xfId="103"/>
    <cellStyle name="Normal" xfId="0" builtinId="0"/>
    <cellStyle name="Normal 10" xfId="154"/>
    <cellStyle name="Normal 2" xfId="104"/>
    <cellStyle name="Normál 2" xfId="105"/>
    <cellStyle name="Normal 2 10" xfId="160"/>
    <cellStyle name="Normal 2 11" xfId="167"/>
    <cellStyle name="Normal 2 12" xfId="165"/>
    <cellStyle name="Normal 2 13" xfId="162"/>
    <cellStyle name="Normal 2 14" xfId="168"/>
    <cellStyle name="Normal 2 15" xfId="169"/>
    <cellStyle name="Normal 2 16" xfId="164"/>
    <cellStyle name="Normal 2 17" xfId="170"/>
    <cellStyle name="Normal 2 18" xfId="163"/>
    <cellStyle name="Normal 2 19" xfId="166"/>
    <cellStyle name="Normal 2 2" xfId="106"/>
    <cellStyle name="Normal 2 20" xfId="172"/>
    <cellStyle name="Normal 2 21" xfId="173"/>
    <cellStyle name="Normal 2 22" xfId="188"/>
    <cellStyle name="Normal 2 23" xfId="179"/>
    <cellStyle name="Normal 2 24" xfId="187"/>
    <cellStyle name="Normal 2 25" xfId="178"/>
    <cellStyle name="Normal 2 26" xfId="186"/>
    <cellStyle name="Normal 2 27" xfId="176"/>
    <cellStyle name="Normal 2 28" xfId="183"/>
    <cellStyle name="Normal 2 29" xfId="190"/>
    <cellStyle name="Normal 2 3" xfId="153"/>
    <cellStyle name="Normal 2 30" xfId="185"/>
    <cellStyle name="Normal 2 31" xfId="177"/>
    <cellStyle name="Normal 2 32" xfId="184"/>
    <cellStyle name="Normal 2 33" xfId="192"/>
    <cellStyle name="Normal 2 34" xfId="191"/>
    <cellStyle name="Normal 2 35" xfId="193"/>
    <cellStyle name="Normal 2 36" xfId="194"/>
    <cellStyle name="Normal 2 37" xfId="195"/>
    <cellStyle name="Normal 2 38" xfId="196"/>
    <cellStyle name="Normal 2 39" xfId="197"/>
    <cellStyle name="Normal 2 4" xfId="147"/>
    <cellStyle name="Normal 2 40" xfId="198"/>
    <cellStyle name="Normal 2 41" xfId="199"/>
    <cellStyle name="Normal 2 42" xfId="200"/>
    <cellStyle name="Normal 2 43" xfId="174"/>
    <cellStyle name="Normal 2 44" xfId="180"/>
    <cellStyle name="Normal 2 45" xfId="189"/>
    <cellStyle name="Normal 2 46" xfId="181"/>
    <cellStyle name="Normal 2 47" xfId="175"/>
    <cellStyle name="Normal 2 48" xfId="201"/>
    <cellStyle name="Normal 2 49" xfId="202"/>
    <cellStyle name="Normal 2 5" xfId="157"/>
    <cellStyle name="Normal 2 50" xfId="203"/>
    <cellStyle name="Normal 2 51" xfId="204"/>
    <cellStyle name="Normal 2 52" xfId="205"/>
    <cellStyle name="Normal 2 53" xfId="206"/>
    <cellStyle name="Normal 2 54" xfId="182"/>
    <cellStyle name="Normal 2 6" xfId="149"/>
    <cellStyle name="Normal 2 7" xfId="156"/>
    <cellStyle name="Normal 2 8" xfId="161"/>
    <cellStyle name="Normal 2 9" xfId="151"/>
    <cellStyle name="Normal 2_Consolidated 260412" xfId="107"/>
    <cellStyle name="Normal 3" xfId="108"/>
    <cellStyle name="Normál 3" xfId="109"/>
    <cellStyle name="Normal 4" xfId="110"/>
    <cellStyle name="Normal 5" xfId="146"/>
    <cellStyle name="Normal 6" xfId="155"/>
    <cellStyle name="Normal 7" xfId="148"/>
    <cellStyle name="Normal 8" xfId="158"/>
    <cellStyle name="Normal 9" xfId="159"/>
    <cellStyle name="Normal_DK" xfId="111"/>
    <cellStyle name="Normal_DK 2" xfId="112"/>
    <cellStyle name="Normal_DK_1" xfId="113"/>
    <cellStyle name="Normal_DK_1 2" xfId="114"/>
    <cellStyle name="Normal_DK_2" xfId="115"/>
    <cellStyle name="Normál_TOO YOUNG TO BE TESTED" xfId="116"/>
    <cellStyle name="Normalny 2" xfId="152"/>
    <cellStyle name="Összesen" xfId="117"/>
    <cellStyle name="Poznámka" xfId="118"/>
    <cellStyle name="Prepojená bunka" xfId="119"/>
    <cellStyle name="Rossz" xfId="120"/>
    <cellStyle name="Rubrik" xfId="121"/>
    <cellStyle name="Rubrik 1" xfId="122"/>
    <cellStyle name="Rubrik 2" xfId="123"/>
    <cellStyle name="Rubrik 3" xfId="124"/>
    <cellStyle name="Rubrik 4" xfId="125"/>
    <cellStyle name="Semleges" xfId="126"/>
    <cellStyle name="Spolu" xfId="127"/>
    <cellStyle name="Summa" xfId="128"/>
    <cellStyle name="Számítás" xfId="129"/>
    <cellStyle name="Text upozornenia" xfId="130"/>
    <cellStyle name="Titul" xfId="131"/>
    <cellStyle name="Utdata" xfId="132"/>
    <cellStyle name="Varningstext" xfId="133"/>
    <cellStyle name="Vstup" xfId="134"/>
    <cellStyle name="Výpočet" xfId="135"/>
    <cellStyle name="Výstup" xfId="136"/>
    <cellStyle name="Vysvetľujúci text" xfId="137"/>
    <cellStyle name="Zlá" xfId="138"/>
    <cellStyle name="Zvýraznenie1" xfId="139"/>
    <cellStyle name="Zvýraznenie2" xfId="140"/>
    <cellStyle name="Zvýraznenie3" xfId="141"/>
    <cellStyle name="Zvýraznenie4" xfId="142"/>
    <cellStyle name="Zvýraznenie5" xfId="143"/>
    <cellStyle name="Zvýraznenie6" xfId="144"/>
    <cellStyle name="Κανονικό 2" xfId="14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663399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33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8</xdr:row>
          <xdr:rowOff>0</xdr:rowOff>
        </xdr:from>
        <xdr:to>
          <xdr:col>5</xdr:col>
          <xdr:colOff>295275</xdr:colOff>
          <xdr:row>12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Create/update input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249"/>
  <sheetViews>
    <sheetView tabSelected="1" zoomScale="80" workbookViewId="0"/>
  </sheetViews>
  <sheetFormatPr defaultRowHeight="12.75"/>
  <cols>
    <col min="1" max="1" width="4.75" style="89" customWidth="1"/>
    <col min="2" max="2" width="7.25" style="1" customWidth="1"/>
    <col min="3" max="3" width="8.125" style="46" customWidth="1"/>
    <col min="4" max="4" width="13.375" style="1" customWidth="1"/>
    <col min="5" max="5" width="18.125" style="59" customWidth="1"/>
    <col min="6" max="6" width="15.875" style="59" customWidth="1"/>
    <col min="7" max="7" width="15.25" style="59" customWidth="1"/>
    <col min="8" max="8" width="12.375" style="59" customWidth="1"/>
    <col min="9" max="9" width="6" style="59" customWidth="1"/>
    <col min="10" max="10" width="9.875" style="46" customWidth="1"/>
    <col min="11" max="11" width="9" style="46"/>
    <col min="12" max="12" width="14" style="46" customWidth="1"/>
    <col min="13" max="55" width="9" style="89"/>
    <col min="56" max="16384" width="9" style="1"/>
  </cols>
  <sheetData>
    <row r="1" spans="2:12">
      <c r="B1" s="89"/>
      <c r="C1" s="90"/>
      <c r="D1" s="89"/>
      <c r="E1" s="91"/>
      <c r="F1" s="91"/>
      <c r="G1" s="91"/>
      <c r="H1" s="91"/>
      <c r="I1" s="242"/>
      <c r="J1" s="243"/>
      <c r="K1" s="243"/>
      <c r="L1" s="243"/>
    </row>
    <row r="2" spans="2:12" ht="15">
      <c r="B2" s="92" t="s">
        <v>129</v>
      </c>
      <c r="C2" s="90"/>
      <c r="D2" s="89"/>
      <c r="E2" s="91"/>
      <c r="F2" s="91"/>
      <c r="G2" s="91"/>
      <c r="H2" s="91"/>
      <c r="I2" s="242"/>
      <c r="J2" s="243"/>
      <c r="K2" s="243"/>
      <c r="L2" s="243"/>
    </row>
    <row r="3" spans="2:12" ht="15">
      <c r="B3" s="92" t="s">
        <v>130</v>
      </c>
      <c r="C3" s="90"/>
      <c r="D3" s="89"/>
      <c r="E3" s="91"/>
      <c r="F3" s="91"/>
      <c r="G3" s="91"/>
      <c r="H3" s="91"/>
      <c r="I3" s="242"/>
      <c r="J3" s="243"/>
      <c r="K3" s="243"/>
      <c r="L3" s="243"/>
    </row>
    <row r="4" spans="2:12" ht="15">
      <c r="B4" s="92" t="s">
        <v>131</v>
      </c>
      <c r="C4" s="90"/>
      <c r="D4" s="89"/>
      <c r="E4" s="91"/>
      <c r="F4" s="91"/>
      <c r="G4" s="91"/>
      <c r="H4" s="91"/>
      <c r="I4" s="242"/>
      <c r="J4" s="243"/>
      <c r="K4" s="243"/>
      <c r="L4" s="243"/>
    </row>
    <row r="5" spans="2:12" ht="15">
      <c r="B5" s="92" t="s">
        <v>132</v>
      </c>
      <c r="C5" s="90"/>
      <c r="D5" s="89"/>
      <c r="E5" s="91"/>
      <c r="F5" s="91"/>
      <c r="G5" s="91"/>
      <c r="H5" s="91"/>
      <c r="I5" s="242"/>
      <c r="J5" s="243"/>
      <c r="K5" s="243"/>
      <c r="L5" s="243"/>
    </row>
    <row r="6" spans="2:12" ht="15">
      <c r="B6" s="92" t="s">
        <v>135</v>
      </c>
      <c r="C6" s="90"/>
      <c r="D6" s="89"/>
      <c r="E6" s="91"/>
      <c r="F6" s="91"/>
      <c r="G6" s="91"/>
      <c r="H6" s="91"/>
      <c r="I6" s="242"/>
      <c r="J6" s="243"/>
      <c r="K6" s="243"/>
      <c r="L6" s="243"/>
    </row>
    <row r="7" spans="2:12">
      <c r="B7" s="89"/>
      <c r="C7" s="90"/>
      <c r="D7" s="89"/>
      <c r="E7" s="91"/>
      <c r="F7" s="91"/>
      <c r="G7" s="91"/>
      <c r="H7" s="91"/>
      <c r="I7" s="242"/>
      <c r="J7" s="243"/>
      <c r="K7" s="243"/>
      <c r="L7" s="243"/>
    </row>
    <row r="8" spans="2:12">
      <c r="B8" s="89"/>
      <c r="C8" s="90"/>
      <c r="D8" s="89"/>
      <c r="E8" s="91"/>
      <c r="F8" s="91"/>
      <c r="G8" s="91"/>
      <c r="H8" s="91"/>
      <c r="I8" s="242"/>
      <c r="J8" s="243"/>
      <c r="K8" s="243"/>
      <c r="L8" s="243"/>
    </row>
    <row r="9" spans="2:12">
      <c r="B9" s="89"/>
      <c r="C9" s="90"/>
      <c r="D9" s="89"/>
      <c r="E9" s="91"/>
      <c r="F9" s="91"/>
      <c r="G9" s="91"/>
      <c r="H9" s="89"/>
      <c r="I9" s="244"/>
      <c r="J9" s="243"/>
      <c r="K9" s="243"/>
      <c r="L9" s="243"/>
    </row>
    <row r="10" spans="2:12" ht="15">
      <c r="B10" s="89"/>
      <c r="C10" s="90"/>
      <c r="D10" s="89"/>
      <c r="E10" s="91"/>
      <c r="F10" s="91"/>
      <c r="G10" s="91"/>
      <c r="H10" s="94" t="s">
        <v>133</v>
      </c>
      <c r="I10" s="245"/>
      <c r="J10" s="243"/>
      <c r="K10" s="243"/>
      <c r="L10" s="243"/>
    </row>
    <row r="11" spans="2:12" ht="15">
      <c r="B11" s="89"/>
      <c r="C11" s="90"/>
      <c r="D11" s="89"/>
      <c r="E11" s="91"/>
      <c r="F11" s="91"/>
      <c r="G11" s="91"/>
      <c r="H11" s="94" t="s">
        <v>134</v>
      </c>
      <c r="I11" s="245"/>
      <c r="J11" s="243"/>
      <c r="K11" s="243"/>
      <c r="L11" s="243"/>
    </row>
    <row r="12" spans="2:12">
      <c r="B12" s="89"/>
      <c r="C12" s="90"/>
      <c r="D12" s="89"/>
      <c r="E12" s="91"/>
      <c r="F12" s="91"/>
      <c r="G12" s="91"/>
      <c r="H12" s="91"/>
      <c r="I12" s="242"/>
      <c r="J12" s="243"/>
      <c r="K12" s="243"/>
      <c r="L12" s="243"/>
    </row>
    <row r="13" spans="2:12" ht="12" customHeight="1">
      <c r="B13" s="89"/>
      <c r="C13" s="90"/>
      <c r="D13" s="89"/>
      <c r="E13" s="91"/>
      <c r="F13" s="91"/>
      <c r="G13" s="91"/>
      <c r="H13" s="91"/>
      <c r="I13" s="242"/>
      <c r="J13" s="243"/>
      <c r="K13" s="243"/>
      <c r="L13" s="243"/>
    </row>
    <row r="14" spans="2:12" ht="14.25" customHeight="1">
      <c r="B14" s="251" t="s">
        <v>181</v>
      </c>
      <c r="C14" s="248"/>
      <c r="D14" s="247"/>
      <c r="E14" s="249"/>
      <c r="F14" s="249"/>
      <c r="G14" s="249"/>
      <c r="H14" s="249"/>
      <c r="I14" s="249"/>
      <c r="J14" s="248"/>
      <c r="K14" s="248"/>
      <c r="L14" s="248"/>
    </row>
    <row r="15" spans="2:12" ht="14.25" customHeight="1">
      <c r="B15" s="247"/>
      <c r="C15" s="248"/>
      <c r="D15" s="247"/>
      <c r="E15" s="249"/>
      <c r="F15" s="249"/>
      <c r="G15" s="249"/>
      <c r="H15" s="249"/>
      <c r="I15" s="249"/>
      <c r="J15" s="248"/>
      <c r="K15" s="248"/>
      <c r="L15" s="248"/>
    </row>
    <row r="16" spans="2:12" ht="14.25" customHeight="1">
      <c r="B16" s="247"/>
      <c r="C16" s="250" t="s">
        <v>182</v>
      </c>
      <c r="D16" s="253" t="s">
        <v>183</v>
      </c>
      <c r="E16" s="247"/>
      <c r="F16" s="249"/>
      <c r="G16" s="249"/>
      <c r="H16" s="249"/>
      <c r="I16" s="249"/>
      <c r="J16" s="249"/>
      <c r="K16" s="248"/>
      <c r="L16" s="248"/>
    </row>
    <row r="17" spans="2:12" ht="14.25" customHeight="1">
      <c r="B17" s="247"/>
      <c r="C17" s="247"/>
      <c r="D17" s="252" t="s">
        <v>184</v>
      </c>
      <c r="E17" s="247"/>
      <c r="F17" s="249"/>
      <c r="G17" s="249"/>
      <c r="H17" s="249"/>
      <c r="I17" s="249"/>
      <c r="J17" s="249"/>
      <c r="K17" s="248"/>
      <c r="L17" s="248"/>
    </row>
    <row r="18" spans="2:12" ht="14.25" customHeight="1">
      <c r="B18" s="247"/>
      <c r="C18" s="247"/>
      <c r="D18" s="252" t="s">
        <v>185</v>
      </c>
      <c r="E18" s="247"/>
      <c r="F18" s="249"/>
      <c r="G18" s="249"/>
      <c r="H18" s="249"/>
      <c r="I18" s="249"/>
      <c r="J18" s="249"/>
      <c r="K18" s="248"/>
      <c r="L18" s="248"/>
    </row>
    <row r="19" spans="2:12" ht="14.25" customHeight="1">
      <c r="B19" s="247"/>
      <c r="C19" s="247"/>
      <c r="D19" s="252" t="s">
        <v>186</v>
      </c>
      <c r="E19" s="247"/>
      <c r="F19" s="249"/>
      <c r="G19" s="249"/>
      <c r="H19" s="249"/>
      <c r="I19" s="249"/>
      <c r="J19" s="249"/>
      <c r="K19" s="248"/>
      <c r="L19" s="248"/>
    </row>
    <row r="20" spans="2:12" ht="14.25" customHeight="1">
      <c r="B20" s="247"/>
      <c r="C20" s="247"/>
      <c r="D20" s="248"/>
      <c r="E20" s="247"/>
      <c r="F20" s="249"/>
      <c r="G20" s="249"/>
      <c r="H20" s="249"/>
      <c r="I20" s="249"/>
      <c r="J20" s="249"/>
      <c r="K20" s="248"/>
      <c r="L20" s="248"/>
    </row>
    <row r="21" spans="2:12" ht="14.25" customHeight="1">
      <c r="B21" s="247"/>
      <c r="C21" s="250" t="s">
        <v>187</v>
      </c>
      <c r="D21" s="253" t="s">
        <v>188</v>
      </c>
      <c r="E21" s="247"/>
      <c r="F21" s="249"/>
      <c r="G21" s="249"/>
      <c r="H21" s="249"/>
      <c r="I21" s="249"/>
      <c r="J21" s="249"/>
      <c r="K21" s="248"/>
      <c r="L21" s="248"/>
    </row>
    <row r="22" spans="2:12" ht="14.25" customHeight="1">
      <c r="B22" s="247"/>
      <c r="C22" s="247"/>
      <c r="D22" s="252" t="s">
        <v>189</v>
      </c>
      <c r="E22" s="247"/>
      <c r="F22" s="249"/>
      <c r="G22" s="249"/>
      <c r="H22" s="249"/>
      <c r="I22" s="249"/>
      <c r="J22" s="249"/>
      <c r="K22" s="248"/>
      <c r="L22" s="248"/>
    </row>
    <row r="23" spans="2:12" ht="14.25" customHeight="1">
      <c r="B23" s="247"/>
      <c r="C23" s="247"/>
      <c r="D23" s="252" t="s">
        <v>190</v>
      </c>
      <c r="E23" s="247"/>
      <c r="F23" s="249"/>
      <c r="G23" s="249"/>
      <c r="H23" s="249"/>
      <c r="I23" s="249"/>
      <c r="J23" s="249"/>
      <c r="K23" s="248"/>
      <c r="L23" s="248"/>
    </row>
    <row r="24" spans="2:12" ht="14.25" customHeight="1">
      <c r="B24" s="247"/>
      <c r="C24" s="247"/>
      <c r="D24" s="252" t="s">
        <v>191</v>
      </c>
      <c r="E24" s="247"/>
      <c r="F24" s="249"/>
      <c r="G24" s="249"/>
      <c r="H24" s="249"/>
      <c r="I24" s="249"/>
      <c r="J24" s="249"/>
      <c r="K24" s="248"/>
      <c r="L24" s="248"/>
    </row>
    <row r="25" spans="2:12" ht="12" customHeight="1">
      <c r="B25" s="89"/>
      <c r="C25" s="90"/>
      <c r="D25" s="89"/>
      <c r="E25" s="91"/>
      <c r="F25" s="91"/>
      <c r="G25" s="91"/>
      <c r="H25" s="91"/>
      <c r="I25" s="242"/>
      <c r="J25" s="243"/>
      <c r="K25" s="243"/>
      <c r="L25" s="243"/>
    </row>
    <row r="26" spans="2:12" ht="15.75">
      <c r="B26" s="93" t="s">
        <v>194</v>
      </c>
      <c r="C26" s="90"/>
      <c r="D26" s="89"/>
      <c r="E26" s="91"/>
      <c r="F26" s="91"/>
      <c r="G26" s="91"/>
      <c r="H26" s="91"/>
      <c r="I26" s="242"/>
      <c r="J26" s="243"/>
      <c r="K26" s="243"/>
      <c r="L26" s="243"/>
    </row>
    <row r="27" spans="2:12">
      <c r="B27" s="89"/>
      <c r="C27" s="90"/>
      <c r="D27" s="89"/>
      <c r="E27" s="91"/>
      <c r="F27" s="91"/>
      <c r="G27" s="91"/>
      <c r="H27" s="91"/>
      <c r="I27" s="242"/>
      <c r="J27" s="243"/>
      <c r="K27" s="243"/>
      <c r="L27" s="243"/>
    </row>
    <row r="28" spans="2:12">
      <c r="B28" s="343" t="s">
        <v>110</v>
      </c>
      <c r="C28" s="344" t="s">
        <v>111</v>
      </c>
      <c r="D28" s="344" t="s">
        <v>112</v>
      </c>
      <c r="E28" s="345" t="s">
        <v>145</v>
      </c>
      <c r="F28" s="344" t="s">
        <v>103</v>
      </c>
      <c r="G28" s="344" t="s">
        <v>115</v>
      </c>
      <c r="H28" s="346" t="s">
        <v>127</v>
      </c>
      <c r="I28" s="242"/>
      <c r="J28" s="243"/>
      <c r="K28" s="243"/>
      <c r="L28" s="243"/>
    </row>
    <row r="29" spans="2:12">
      <c r="B29" s="347"/>
      <c r="C29" s="348"/>
      <c r="D29" s="348"/>
      <c r="E29" s="349"/>
      <c r="F29" s="348"/>
      <c r="G29" s="348"/>
      <c r="H29" s="350"/>
      <c r="I29" s="242"/>
      <c r="J29" s="243"/>
      <c r="K29" s="243"/>
      <c r="L29" s="243"/>
    </row>
    <row r="30" spans="2:12">
      <c r="B30" s="351" t="s">
        <v>64</v>
      </c>
      <c r="C30" s="352" t="s">
        <v>36</v>
      </c>
      <c r="D30" s="352" t="s">
        <v>26</v>
      </c>
      <c r="E30" s="353" t="s">
        <v>104</v>
      </c>
      <c r="F30" s="354" t="s">
        <v>104</v>
      </c>
      <c r="G30" s="352" t="s">
        <v>104</v>
      </c>
      <c r="H30" s="355" t="s">
        <v>125</v>
      </c>
      <c r="I30" s="242"/>
      <c r="J30" s="243"/>
      <c r="K30" s="243"/>
      <c r="L30" s="243"/>
    </row>
    <row r="31" spans="2:12">
      <c r="B31" s="351" t="s">
        <v>64</v>
      </c>
      <c r="C31" s="352" t="s">
        <v>37</v>
      </c>
      <c r="D31" s="352" t="s">
        <v>9</v>
      </c>
      <c r="E31" s="353" t="s">
        <v>104</v>
      </c>
      <c r="F31" s="354" t="s">
        <v>104</v>
      </c>
      <c r="G31" s="352" t="s">
        <v>104</v>
      </c>
      <c r="H31" s="356" t="s">
        <v>104</v>
      </c>
      <c r="I31" s="242"/>
      <c r="J31" s="243"/>
      <c r="K31" s="243"/>
      <c r="L31" s="243"/>
    </row>
    <row r="32" spans="2:12">
      <c r="B32" s="357" t="s">
        <v>65</v>
      </c>
      <c r="C32" s="352" t="s">
        <v>38</v>
      </c>
      <c r="D32" s="352" t="s">
        <v>10</v>
      </c>
      <c r="E32" s="353" t="s">
        <v>104</v>
      </c>
      <c r="F32" s="354" t="s">
        <v>177</v>
      </c>
      <c r="G32" s="354" t="s">
        <v>177</v>
      </c>
      <c r="H32" s="358" t="s">
        <v>65</v>
      </c>
      <c r="I32" s="242"/>
      <c r="J32" s="243"/>
      <c r="K32" s="243"/>
      <c r="L32" s="243"/>
    </row>
    <row r="33" spans="2:12">
      <c r="B33" s="351" t="s">
        <v>64</v>
      </c>
      <c r="C33" s="352" t="s">
        <v>39</v>
      </c>
      <c r="D33" s="352" t="s">
        <v>19</v>
      </c>
      <c r="E33" s="353" t="s">
        <v>104</v>
      </c>
      <c r="F33" s="354" t="s">
        <v>119</v>
      </c>
      <c r="G33" s="359" t="s">
        <v>104</v>
      </c>
      <c r="H33" s="358" t="s">
        <v>125</v>
      </c>
      <c r="I33" s="242"/>
      <c r="J33" s="243"/>
      <c r="K33" s="243"/>
      <c r="L33" s="243"/>
    </row>
    <row r="34" spans="2:12">
      <c r="B34" s="351" t="s">
        <v>64</v>
      </c>
      <c r="C34" s="352" t="s">
        <v>40</v>
      </c>
      <c r="D34" s="352" t="s">
        <v>11</v>
      </c>
      <c r="E34" s="353" t="s">
        <v>104</v>
      </c>
      <c r="F34" s="354" t="s">
        <v>119</v>
      </c>
      <c r="G34" s="359" t="s">
        <v>104</v>
      </c>
      <c r="H34" s="356" t="s">
        <v>104</v>
      </c>
      <c r="I34" s="242"/>
      <c r="J34" s="243"/>
      <c r="K34" s="243"/>
      <c r="L34" s="243"/>
    </row>
    <row r="35" spans="2:12">
      <c r="B35" s="351" t="s">
        <v>64</v>
      </c>
      <c r="C35" s="354" t="s">
        <v>45</v>
      </c>
      <c r="D35" s="352" t="s">
        <v>46</v>
      </c>
      <c r="E35" s="353" t="s">
        <v>104</v>
      </c>
      <c r="F35" s="354" t="s">
        <v>104</v>
      </c>
      <c r="G35" s="352" t="s">
        <v>104</v>
      </c>
      <c r="H35" s="356" t="s">
        <v>104</v>
      </c>
      <c r="I35" s="242"/>
      <c r="J35" s="243"/>
      <c r="K35" s="243"/>
      <c r="L35" s="243"/>
    </row>
    <row r="36" spans="2:12">
      <c r="B36" s="351" t="s">
        <v>64</v>
      </c>
      <c r="C36" s="352" t="s">
        <v>41</v>
      </c>
      <c r="D36" s="352" t="s">
        <v>12</v>
      </c>
      <c r="E36" s="353" t="s">
        <v>104</v>
      </c>
      <c r="F36" s="360" t="s">
        <v>104</v>
      </c>
      <c r="G36" s="359" t="s">
        <v>104</v>
      </c>
      <c r="H36" s="361" t="s">
        <v>104</v>
      </c>
      <c r="I36" s="242"/>
      <c r="J36" s="243"/>
      <c r="K36" s="243"/>
      <c r="L36" s="243"/>
    </row>
    <row r="37" spans="2:12">
      <c r="B37" s="351" t="s">
        <v>64</v>
      </c>
      <c r="C37" s="352" t="s">
        <v>42</v>
      </c>
      <c r="D37" s="352" t="s">
        <v>13</v>
      </c>
      <c r="E37" s="353" t="s">
        <v>104</v>
      </c>
      <c r="F37" s="354" t="s">
        <v>119</v>
      </c>
      <c r="G37" s="359" t="s">
        <v>104</v>
      </c>
      <c r="H37" s="358" t="s">
        <v>126</v>
      </c>
      <c r="I37" s="242"/>
      <c r="J37" s="243"/>
      <c r="K37" s="243"/>
      <c r="L37" s="243"/>
    </row>
    <row r="38" spans="2:12">
      <c r="B38" s="351" t="s">
        <v>64</v>
      </c>
      <c r="C38" s="352" t="s">
        <v>47</v>
      </c>
      <c r="D38" s="352" t="s">
        <v>15</v>
      </c>
      <c r="E38" s="353" t="s">
        <v>104</v>
      </c>
      <c r="F38" s="354" t="s">
        <v>104</v>
      </c>
      <c r="G38" s="352" t="s">
        <v>104</v>
      </c>
      <c r="H38" s="355" t="s">
        <v>125</v>
      </c>
      <c r="I38" s="242"/>
      <c r="J38" s="243"/>
      <c r="K38" s="243"/>
      <c r="L38" s="243"/>
    </row>
    <row r="39" spans="2:12">
      <c r="B39" s="351" t="s">
        <v>64</v>
      </c>
      <c r="C39" s="352" t="s">
        <v>61</v>
      </c>
      <c r="D39" s="352" t="s">
        <v>16</v>
      </c>
      <c r="E39" s="353" t="s">
        <v>104</v>
      </c>
      <c r="F39" s="354" t="s">
        <v>104</v>
      </c>
      <c r="G39" s="352" t="s">
        <v>104</v>
      </c>
      <c r="H39" s="356" t="s">
        <v>104</v>
      </c>
      <c r="I39" s="242"/>
      <c r="J39" s="243"/>
      <c r="K39" s="243"/>
      <c r="L39" s="243"/>
    </row>
    <row r="40" spans="2:12">
      <c r="B40" s="351" t="s">
        <v>64</v>
      </c>
      <c r="C40" s="352" t="s">
        <v>43</v>
      </c>
      <c r="D40" s="352" t="s">
        <v>32</v>
      </c>
      <c r="E40" s="353" t="s">
        <v>104</v>
      </c>
      <c r="F40" s="360" t="s">
        <v>104</v>
      </c>
      <c r="G40" s="359" t="s">
        <v>104</v>
      </c>
      <c r="H40" s="355" t="s">
        <v>125</v>
      </c>
      <c r="I40" s="242"/>
      <c r="J40" s="243"/>
      <c r="K40" s="243"/>
      <c r="L40" s="243"/>
    </row>
    <row r="41" spans="2:12">
      <c r="B41" s="351" t="s">
        <v>64</v>
      </c>
      <c r="C41" s="352" t="s">
        <v>44</v>
      </c>
      <c r="D41" s="352" t="s">
        <v>17</v>
      </c>
      <c r="E41" s="353" t="s">
        <v>104</v>
      </c>
      <c r="F41" s="354" t="s">
        <v>104</v>
      </c>
      <c r="G41" s="352" t="s">
        <v>104</v>
      </c>
      <c r="H41" s="356" t="s">
        <v>104</v>
      </c>
      <c r="I41" s="242"/>
      <c r="J41" s="243"/>
      <c r="K41" s="243"/>
      <c r="L41" s="243"/>
    </row>
    <row r="42" spans="2:12">
      <c r="B42" s="351" t="s">
        <v>64</v>
      </c>
      <c r="C42" s="352" t="s">
        <v>48</v>
      </c>
      <c r="D42" s="352" t="s">
        <v>23</v>
      </c>
      <c r="E42" s="353" t="s">
        <v>104</v>
      </c>
      <c r="F42" s="354" t="s">
        <v>120</v>
      </c>
      <c r="G42" s="352" t="s">
        <v>104</v>
      </c>
      <c r="H42" s="358" t="s">
        <v>126</v>
      </c>
      <c r="I42" s="242"/>
      <c r="J42" s="243"/>
      <c r="K42" s="243"/>
      <c r="L42" s="243"/>
    </row>
    <row r="43" spans="2:12">
      <c r="B43" s="351" t="s">
        <v>64</v>
      </c>
      <c r="C43" s="352" t="s">
        <v>49</v>
      </c>
      <c r="D43" s="352" t="s">
        <v>14</v>
      </c>
      <c r="E43" s="353" t="s">
        <v>104</v>
      </c>
      <c r="F43" s="354" t="s">
        <v>104</v>
      </c>
      <c r="G43" s="352" t="s">
        <v>104</v>
      </c>
      <c r="H43" s="356" t="s">
        <v>104</v>
      </c>
      <c r="I43" s="242"/>
      <c r="J43" s="243"/>
      <c r="K43" s="243"/>
      <c r="L43" s="243"/>
    </row>
    <row r="44" spans="2:12">
      <c r="B44" s="351" t="s">
        <v>64</v>
      </c>
      <c r="C44" s="352" t="s">
        <v>50</v>
      </c>
      <c r="D44" s="352" t="s">
        <v>18</v>
      </c>
      <c r="E44" s="353" t="s">
        <v>104</v>
      </c>
      <c r="F44" s="354" t="s">
        <v>104</v>
      </c>
      <c r="G44" s="354" t="s">
        <v>104</v>
      </c>
      <c r="H44" s="356" t="s">
        <v>104</v>
      </c>
      <c r="I44" s="242"/>
      <c r="J44" s="243"/>
      <c r="K44" s="243"/>
      <c r="L44" s="243"/>
    </row>
    <row r="45" spans="2:12">
      <c r="B45" s="351" t="s">
        <v>64</v>
      </c>
      <c r="C45" s="352" t="s">
        <v>52</v>
      </c>
      <c r="D45" s="352" t="s">
        <v>21</v>
      </c>
      <c r="E45" s="353" t="s">
        <v>104</v>
      </c>
      <c r="F45" s="354" t="s">
        <v>120</v>
      </c>
      <c r="G45" s="352" t="s">
        <v>104</v>
      </c>
      <c r="H45" s="358" t="s">
        <v>126</v>
      </c>
      <c r="I45" s="242"/>
      <c r="J45" s="243"/>
      <c r="K45" s="243"/>
      <c r="L45" s="243"/>
    </row>
    <row r="46" spans="2:12">
      <c r="B46" s="351" t="s">
        <v>64</v>
      </c>
      <c r="C46" s="352" t="s">
        <v>53</v>
      </c>
      <c r="D46" s="352" t="s">
        <v>22</v>
      </c>
      <c r="E46" s="353" t="s">
        <v>104</v>
      </c>
      <c r="F46" s="354" t="s">
        <v>104</v>
      </c>
      <c r="G46" s="352" t="s">
        <v>104</v>
      </c>
      <c r="H46" s="355" t="s">
        <v>126</v>
      </c>
      <c r="I46" s="242"/>
      <c r="J46" s="243"/>
      <c r="K46" s="243"/>
      <c r="L46" s="243"/>
    </row>
    <row r="47" spans="2:12">
      <c r="B47" s="351" t="s">
        <v>64</v>
      </c>
      <c r="C47" s="352" t="s">
        <v>51</v>
      </c>
      <c r="D47" s="352" t="s">
        <v>20</v>
      </c>
      <c r="E47" s="353" t="s">
        <v>104</v>
      </c>
      <c r="F47" s="354" t="s">
        <v>119</v>
      </c>
      <c r="G47" s="352" t="s">
        <v>104</v>
      </c>
      <c r="H47" s="358" t="s">
        <v>126</v>
      </c>
      <c r="I47" s="242"/>
      <c r="J47" s="243"/>
      <c r="K47" s="243"/>
      <c r="L47" s="243"/>
    </row>
    <row r="48" spans="2:12">
      <c r="B48" s="351"/>
      <c r="C48" s="352" t="s">
        <v>66</v>
      </c>
      <c r="D48" s="352" t="s">
        <v>67</v>
      </c>
      <c r="E48" s="353" t="s">
        <v>104</v>
      </c>
      <c r="F48" s="352" t="s">
        <v>104</v>
      </c>
      <c r="G48" s="354" t="s">
        <v>104</v>
      </c>
      <c r="H48" s="355" t="s">
        <v>64</v>
      </c>
      <c r="I48" s="242"/>
      <c r="J48" s="243"/>
      <c r="K48" s="243"/>
      <c r="L48" s="243"/>
    </row>
    <row r="49" spans="2:12">
      <c r="B49" s="351" t="s">
        <v>64</v>
      </c>
      <c r="C49" s="352" t="s">
        <v>54</v>
      </c>
      <c r="D49" s="352" t="s">
        <v>24</v>
      </c>
      <c r="E49" s="353" t="s">
        <v>104</v>
      </c>
      <c r="F49" s="354" t="s">
        <v>119</v>
      </c>
      <c r="G49" s="352" t="s">
        <v>104</v>
      </c>
      <c r="H49" s="358" t="s">
        <v>126</v>
      </c>
      <c r="I49" s="242"/>
      <c r="J49" s="243"/>
      <c r="K49" s="243"/>
      <c r="L49" s="243"/>
    </row>
    <row r="50" spans="2:12">
      <c r="B50" s="351" t="s">
        <v>64</v>
      </c>
      <c r="C50" s="352" t="s">
        <v>55</v>
      </c>
      <c r="D50" s="352" t="s">
        <v>25</v>
      </c>
      <c r="E50" s="353" t="s">
        <v>104</v>
      </c>
      <c r="F50" s="354" t="s">
        <v>104</v>
      </c>
      <c r="G50" s="354" t="s">
        <v>104</v>
      </c>
      <c r="H50" s="356" t="s">
        <v>104</v>
      </c>
      <c r="I50" s="242"/>
      <c r="J50" s="243"/>
      <c r="K50" s="243"/>
      <c r="L50" s="243"/>
    </row>
    <row r="51" spans="2:12">
      <c r="B51" s="351" t="s">
        <v>64</v>
      </c>
      <c r="C51" s="352" t="s">
        <v>56</v>
      </c>
      <c r="D51" s="352" t="s">
        <v>27</v>
      </c>
      <c r="E51" s="353" t="s">
        <v>104</v>
      </c>
      <c r="F51" s="354" t="s">
        <v>119</v>
      </c>
      <c r="G51" s="354" t="s">
        <v>104</v>
      </c>
      <c r="H51" s="356" t="s">
        <v>104</v>
      </c>
      <c r="I51" s="242"/>
      <c r="J51" s="243"/>
      <c r="K51" s="243"/>
      <c r="L51" s="243"/>
    </row>
    <row r="52" spans="2:12">
      <c r="B52" s="351" t="s">
        <v>64</v>
      </c>
      <c r="C52" s="352" t="s">
        <v>57</v>
      </c>
      <c r="D52" s="352" t="s">
        <v>28</v>
      </c>
      <c r="E52" s="353" t="s">
        <v>104</v>
      </c>
      <c r="F52" s="354" t="s">
        <v>104</v>
      </c>
      <c r="G52" s="352" t="s">
        <v>104</v>
      </c>
      <c r="H52" s="356" t="s">
        <v>104</v>
      </c>
      <c r="I52" s="242"/>
      <c r="J52" s="243"/>
      <c r="K52" s="243"/>
      <c r="L52" s="243"/>
    </row>
    <row r="53" spans="2:12">
      <c r="B53" s="357" t="s">
        <v>65</v>
      </c>
      <c r="C53" s="352" t="s">
        <v>58</v>
      </c>
      <c r="D53" s="352" t="s">
        <v>29</v>
      </c>
      <c r="E53" s="353" t="s">
        <v>104</v>
      </c>
      <c r="F53" s="354" t="s">
        <v>177</v>
      </c>
      <c r="G53" s="354" t="s">
        <v>177</v>
      </c>
      <c r="H53" s="358" t="s">
        <v>65</v>
      </c>
      <c r="I53" s="242"/>
      <c r="J53" s="243"/>
      <c r="K53" s="243"/>
      <c r="L53" s="243"/>
    </row>
    <row r="54" spans="2:12">
      <c r="B54" s="351" t="s">
        <v>64</v>
      </c>
      <c r="C54" s="352" t="s">
        <v>62</v>
      </c>
      <c r="D54" s="352" t="s">
        <v>33</v>
      </c>
      <c r="E54" s="353" t="s">
        <v>104</v>
      </c>
      <c r="F54" s="354" t="s">
        <v>104</v>
      </c>
      <c r="G54" s="354" t="s">
        <v>104</v>
      </c>
      <c r="H54" s="355" t="s">
        <v>125</v>
      </c>
      <c r="I54" s="242"/>
      <c r="J54" s="243"/>
      <c r="K54" s="243"/>
      <c r="L54" s="243"/>
    </row>
    <row r="55" spans="2:12">
      <c r="B55" s="351" t="s">
        <v>64</v>
      </c>
      <c r="C55" s="352" t="s">
        <v>60</v>
      </c>
      <c r="D55" s="352" t="s">
        <v>30</v>
      </c>
      <c r="E55" s="353" t="s">
        <v>104</v>
      </c>
      <c r="F55" s="354" t="s">
        <v>119</v>
      </c>
      <c r="G55" s="354" t="s">
        <v>104</v>
      </c>
      <c r="H55" s="356" t="s">
        <v>104</v>
      </c>
      <c r="I55" s="242"/>
      <c r="J55" s="243"/>
      <c r="K55" s="243"/>
      <c r="L55" s="243"/>
    </row>
    <row r="56" spans="2:12">
      <c r="B56" s="351" t="s">
        <v>64</v>
      </c>
      <c r="C56" s="352" t="s">
        <v>59</v>
      </c>
      <c r="D56" s="352" t="s">
        <v>31</v>
      </c>
      <c r="E56" s="353" t="s">
        <v>104</v>
      </c>
      <c r="F56" s="354" t="s">
        <v>119</v>
      </c>
      <c r="G56" s="354" t="s">
        <v>104</v>
      </c>
      <c r="H56" s="356" t="s">
        <v>104</v>
      </c>
      <c r="I56" s="242"/>
      <c r="J56" s="243"/>
      <c r="K56" s="243"/>
      <c r="L56" s="243"/>
    </row>
    <row r="57" spans="2:12">
      <c r="B57" s="351" t="s">
        <v>64</v>
      </c>
      <c r="C57" s="352" t="s">
        <v>63</v>
      </c>
      <c r="D57" s="352" t="s">
        <v>34</v>
      </c>
      <c r="E57" s="353" t="s">
        <v>104</v>
      </c>
      <c r="F57" s="352" t="s">
        <v>104</v>
      </c>
      <c r="G57" s="354" t="s">
        <v>104</v>
      </c>
      <c r="H57" s="356" t="s">
        <v>104</v>
      </c>
      <c r="I57" s="242"/>
      <c r="J57" s="243"/>
      <c r="K57" s="243"/>
      <c r="L57" s="243"/>
    </row>
    <row r="58" spans="2:12">
      <c r="B58" s="362"/>
      <c r="C58" s="352" t="s">
        <v>64</v>
      </c>
      <c r="D58" s="352" t="s">
        <v>64</v>
      </c>
      <c r="E58" s="363"/>
      <c r="F58" s="352"/>
      <c r="G58" s="352"/>
      <c r="H58" s="356"/>
      <c r="I58" s="242"/>
      <c r="J58" s="243"/>
      <c r="K58" s="243"/>
      <c r="L58" s="243"/>
    </row>
    <row r="59" spans="2:12">
      <c r="B59" s="351"/>
      <c r="C59" s="352" t="s">
        <v>65</v>
      </c>
      <c r="D59" s="352" t="s">
        <v>65</v>
      </c>
      <c r="E59" s="364"/>
      <c r="F59" s="352"/>
      <c r="G59" s="352"/>
      <c r="H59" s="361"/>
      <c r="I59" s="242"/>
      <c r="J59" s="243"/>
      <c r="K59" s="243"/>
      <c r="L59" s="243"/>
    </row>
    <row r="60" spans="2:12">
      <c r="B60" s="365"/>
      <c r="C60" s="352" t="s">
        <v>68</v>
      </c>
      <c r="D60" s="366" t="s">
        <v>69</v>
      </c>
      <c r="E60" s="364"/>
      <c r="F60" s="352" t="s">
        <v>105</v>
      </c>
      <c r="G60" s="352" t="s">
        <v>113</v>
      </c>
      <c r="H60" s="361" t="s">
        <v>114</v>
      </c>
      <c r="I60" s="242"/>
      <c r="J60" s="243"/>
      <c r="K60" s="243"/>
      <c r="L60" s="243"/>
    </row>
    <row r="61" spans="2:12">
      <c r="B61" s="367" t="s">
        <v>178</v>
      </c>
      <c r="C61" s="352" t="s">
        <v>70</v>
      </c>
      <c r="D61" s="366" t="s">
        <v>35</v>
      </c>
      <c r="E61" s="364"/>
      <c r="F61" s="352" t="s">
        <v>105</v>
      </c>
      <c r="G61" s="352" t="s">
        <v>113</v>
      </c>
      <c r="H61" s="361" t="s">
        <v>114</v>
      </c>
      <c r="I61" s="242"/>
      <c r="J61" s="243"/>
      <c r="K61" s="243"/>
      <c r="L61" s="243"/>
    </row>
    <row r="62" spans="2:12">
      <c r="B62" s="365"/>
      <c r="C62" s="352" t="s">
        <v>106</v>
      </c>
      <c r="D62" s="366" t="s">
        <v>71</v>
      </c>
      <c r="E62" s="364"/>
      <c r="F62" s="352" t="s">
        <v>105</v>
      </c>
      <c r="G62" s="352" t="s">
        <v>113</v>
      </c>
      <c r="H62" s="361" t="s">
        <v>114</v>
      </c>
      <c r="I62" s="242"/>
      <c r="J62" s="243"/>
      <c r="K62" s="243"/>
      <c r="L62" s="243"/>
    </row>
    <row r="63" spans="2:12">
      <c r="B63" s="365"/>
      <c r="C63" s="352" t="s">
        <v>72</v>
      </c>
      <c r="D63" s="366" t="s">
        <v>73</v>
      </c>
      <c r="E63" s="364"/>
      <c r="F63" s="352" t="s">
        <v>105</v>
      </c>
      <c r="G63" s="352" t="s">
        <v>113</v>
      </c>
      <c r="H63" s="361" t="s">
        <v>114</v>
      </c>
      <c r="I63" s="242"/>
      <c r="J63" s="243"/>
      <c r="K63" s="243"/>
      <c r="L63" s="243"/>
    </row>
    <row r="64" spans="2:12">
      <c r="B64" s="365"/>
      <c r="C64" s="352" t="s">
        <v>74</v>
      </c>
      <c r="D64" s="366" t="s">
        <v>75</v>
      </c>
      <c r="E64" s="364"/>
      <c r="F64" s="352" t="s">
        <v>105</v>
      </c>
      <c r="G64" s="352" t="s">
        <v>113</v>
      </c>
      <c r="H64" s="361" t="s">
        <v>114</v>
      </c>
      <c r="I64" s="242"/>
      <c r="J64" s="243"/>
      <c r="K64" s="243"/>
      <c r="L64" s="243"/>
    </row>
    <row r="65" spans="2:12">
      <c r="B65" s="365"/>
      <c r="C65" s="352" t="s">
        <v>107</v>
      </c>
      <c r="D65" s="366" t="s">
        <v>76</v>
      </c>
      <c r="E65" s="364"/>
      <c r="F65" s="352" t="s">
        <v>105</v>
      </c>
      <c r="G65" s="352" t="s">
        <v>113</v>
      </c>
      <c r="H65" s="361" t="s">
        <v>114</v>
      </c>
      <c r="I65" s="242"/>
      <c r="J65" s="243"/>
      <c r="K65" s="243"/>
      <c r="L65" s="243"/>
    </row>
    <row r="66" spans="2:12">
      <c r="B66" s="365"/>
      <c r="C66" s="352" t="s">
        <v>108</v>
      </c>
      <c r="D66" s="366" t="s">
        <v>77</v>
      </c>
      <c r="E66" s="364"/>
      <c r="F66" s="352" t="s">
        <v>105</v>
      </c>
      <c r="G66" s="352" t="s">
        <v>113</v>
      </c>
      <c r="H66" s="361" t="s">
        <v>114</v>
      </c>
      <c r="I66" s="242"/>
      <c r="J66" s="243"/>
      <c r="K66" s="243"/>
      <c r="L66" s="243"/>
    </row>
    <row r="67" spans="2:12">
      <c r="B67" s="365"/>
      <c r="C67" s="352" t="s">
        <v>78</v>
      </c>
      <c r="D67" s="366" t="s">
        <v>79</v>
      </c>
      <c r="E67" s="364"/>
      <c r="F67" s="352" t="s">
        <v>105</v>
      </c>
      <c r="G67" s="352" t="s">
        <v>113</v>
      </c>
      <c r="H67" s="361" t="s">
        <v>114</v>
      </c>
      <c r="I67" s="242"/>
      <c r="J67" s="243"/>
      <c r="K67" s="243"/>
      <c r="L67" s="243"/>
    </row>
    <row r="68" spans="2:12">
      <c r="B68" s="365"/>
      <c r="C68" s="352" t="s">
        <v>80</v>
      </c>
      <c r="D68" s="366" t="s">
        <v>81</v>
      </c>
      <c r="E68" s="364"/>
      <c r="F68" s="352" t="s">
        <v>105</v>
      </c>
      <c r="G68" s="352" t="s">
        <v>113</v>
      </c>
      <c r="H68" s="361" t="s">
        <v>114</v>
      </c>
      <c r="I68" s="242"/>
      <c r="J68" s="243"/>
      <c r="K68" s="243"/>
      <c r="L68" s="243"/>
    </row>
    <row r="69" spans="2:12">
      <c r="B69" s="365"/>
      <c r="C69" s="352" t="s">
        <v>109</v>
      </c>
      <c r="D69" s="366" t="s">
        <v>82</v>
      </c>
      <c r="E69" s="364"/>
      <c r="F69" s="352" t="s">
        <v>105</v>
      </c>
      <c r="G69" s="352" t="s">
        <v>113</v>
      </c>
      <c r="H69" s="361" t="s">
        <v>114</v>
      </c>
      <c r="I69" s="242"/>
      <c r="J69" s="243"/>
      <c r="K69" s="243"/>
      <c r="L69" s="243"/>
    </row>
    <row r="70" spans="2:12">
      <c r="B70" s="365"/>
      <c r="C70" s="352"/>
      <c r="D70" s="366"/>
      <c r="E70" s="364"/>
      <c r="F70" s="352"/>
      <c r="G70" s="352"/>
      <c r="H70" s="356"/>
      <c r="I70" s="242"/>
      <c r="J70" s="243"/>
      <c r="K70" s="243"/>
      <c r="L70" s="243"/>
    </row>
    <row r="71" spans="2:12">
      <c r="B71" s="365"/>
      <c r="C71" s="354" t="s">
        <v>179</v>
      </c>
      <c r="D71" s="368" t="s">
        <v>180</v>
      </c>
      <c r="E71" s="364"/>
      <c r="F71" s="352"/>
      <c r="G71" s="352"/>
      <c r="H71" s="356"/>
      <c r="I71" s="242"/>
      <c r="J71" s="243"/>
      <c r="K71" s="243"/>
      <c r="L71" s="243"/>
    </row>
    <row r="72" spans="2:12">
      <c r="B72" s="365"/>
      <c r="C72" s="354" t="s">
        <v>116</v>
      </c>
      <c r="D72" s="368" t="s">
        <v>118</v>
      </c>
      <c r="E72" s="364"/>
      <c r="F72" s="352"/>
      <c r="G72" s="352"/>
      <c r="H72" s="356"/>
      <c r="I72" s="242"/>
      <c r="J72" s="243"/>
      <c r="K72" s="243"/>
      <c r="L72" s="243"/>
    </row>
    <row r="73" spans="2:12">
      <c r="B73" s="369"/>
      <c r="C73" s="370" t="s">
        <v>117</v>
      </c>
      <c r="D73" s="371" t="s">
        <v>128</v>
      </c>
      <c r="E73" s="349"/>
      <c r="F73" s="348"/>
      <c r="G73" s="348"/>
      <c r="H73" s="350"/>
      <c r="I73" s="242"/>
      <c r="J73" s="243"/>
      <c r="K73" s="243"/>
      <c r="L73" s="243"/>
    </row>
    <row r="74" spans="2:12">
      <c r="B74" s="89"/>
      <c r="C74" s="90"/>
      <c r="D74" s="89"/>
      <c r="E74" s="91"/>
      <c r="F74" s="91"/>
      <c r="G74" s="91"/>
      <c r="H74" s="91"/>
      <c r="I74" s="242"/>
      <c r="J74" s="243"/>
      <c r="K74" s="243"/>
      <c r="L74" s="243"/>
    </row>
    <row r="75" spans="2:12" ht="15">
      <c r="B75" s="92"/>
      <c r="C75" s="145"/>
      <c r="D75" s="146"/>
      <c r="E75" s="147"/>
      <c r="F75" s="147"/>
      <c r="G75" s="147"/>
      <c r="H75" s="147"/>
      <c r="I75" s="147"/>
      <c r="J75" s="145"/>
      <c r="K75" s="145"/>
      <c r="L75" s="90"/>
    </row>
    <row r="76" spans="2:12">
      <c r="B76" s="146"/>
      <c r="C76" s="145"/>
      <c r="D76" s="146"/>
      <c r="E76" s="147"/>
      <c r="F76" s="147"/>
      <c r="G76" s="147"/>
      <c r="H76" s="147"/>
      <c r="I76" s="147"/>
      <c r="J76" s="145"/>
      <c r="K76" s="145"/>
      <c r="L76" s="90"/>
    </row>
    <row r="77" spans="2:12" ht="15">
      <c r="B77" s="92"/>
      <c r="C77" s="148"/>
      <c r="D77" s="146"/>
      <c r="E77" s="147"/>
      <c r="F77" s="147"/>
      <c r="G77" s="147"/>
      <c r="H77" s="147"/>
      <c r="I77" s="147"/>
      <c r="J77" s="145"/>
      <c r="K77" s="145"/>
      <c r="L77" s="90"/>
    </row>
    <row r="78" spans="2:12" ht="15">
      <c r="B78" s="146"/>
      <c r="C78" s="94"/>
      <c r="D78" s="146"/>
      <c r="E78" s="147"/>
      <c r="F78" s="147"/>
      <c r="G78" s="147"/>
      <c r="H78" s="147"/>
      <c r="I78" s="147"/>
      <c r="J78" s="145"/>
      <c r="K78" s="145"/>
      <c r="L78" s="90"/>
    </row>
    <row r="79" spans="2:12" ht="15">
      <c r="B79" s="146"/>
      <c r="C79" s="94"/>
      <c r="D79" s="146"/>
      <c r="E79" s="147"/>
      <c r="F79" s="147"/>
      <c r="G79" s="147"/>
      <c r="H79" s="147"/>
      <c r="I79" s="147"/>
      <c r="J79" s="145"/>
      <c r="K79" s="145"/>
      <c r="L79" s="90"/>
    </row>
    <row r="80" spans="2:12" ht="15">
      <c r="B80" s="146"/>
      <c r="C80" s="94"/>
      <c r="D80" s="146"/>
      <c r="E80" s="147"/>
      <c r="F80" s="147"/>
      <c r="G80" s="147"/>
      <c r="H80" s="147"/>
      <c r="I80" s="147"/>
      <c r="J80" s="145"/>
      <c r="K80" s="145"/>
      <c r="L80" s="90"/>
    </row>
    <row r="81" spans="2:12">
      <c r="B81" s="146"/>
      <c r="C81" s="145"/>
      <c r="D81" s="146"/>
      <c r="E81" s="147"/>
      <c r="F81" s="147"/>
      <c r="G81" s="147"/>
      <c r="H81" s="147"/>
      <c r="I81" s="147"/>
      <c r="J81" s="145"/>
      <c r="K81" s="145"/>
      <c r="L81" s="90"/>
    </row>
    <row r="82" spans="2:12" ht="15">
      <c r="B82" s="92"/>
      <c r="C82" s="148"/>
      <c r="D82" s="146"/>
      <c r="E82" s="147"/>
      <c r="F82" s="147"/>
      <c r="G82" s="147"/>
      <c r="H82" s="147"/>
      <c r="I82" s="147"/>
      <c r="J82" s="145"/>
      <c r="K82" s="145"/>
      <c r="L82" s="90"/>
    </row>
    <row r="83" spans="2:12" ht="15">
      <c r="B83" s="146"/>
      <c r="C83" s="94"/>
      <c r="D83" s="146"/>
      <c r="E83" s="147"/>
      <c r="F83" s="147"/>
      <c r="G83" s="147"/>
      <c r="H83" s="147"/>
      <c r="I83" s="147"/>
      <c r="J83" s="145"/>
      <c r="K83" s="145"/>
      <c r="L83" s="90"/>
    </row>
    <row r="84" spans="2:12" ht="15">
      <c r="B84" s="146"/>
      <c r="C84" s="94"/>
      <c r="D84" s="146"/>
      <c r="E84" s="147"/>
      <c r="F84" s="147"/>
      <c r="G84" s="147"/>
      <c r="H84" s="147"/>
      <c r="I84" s="147"/>
      <c r="J84" s="145"/>
      <c r="K84" s="145"/>
      <c r="L84" s="90"/>
    </row>
    <row r="85" spans="2:12" ht="15">
      <c r="B85" s="146"/>
      <c r="C85" s="94"/>
      <c r="D85" s="146"/>
      <c r="E85" s="147"/>
      <c r="F85" s="147"/>
      <c r="G85" s="147"/>
      <c r="H85" s="147"/>
      <c r="I85" s="147"/>
      <c r="J85" s="145"/>
      <c r="K85" s="145"/>
      <c r="L85" s="90"/>
    </row>
    <row r="86" spans="2:12">
      <c r="B86" s="89"/>
      <c r="C86" s="90"/>
      <c r="D86" s="89"/>
      <c r="E86" s="91"/>
      <c r="F86" s="91"/>
      <c r="G86" s="91"/>
      <c r="H86" s="91"/>
      <c r="I86" s="91"/>
      <c r="J86" s="90"/>
      <c r="K86" s="90"/>
      <c r="L86" s="90"/>
    </row>
    <row r="87" spans="2:12">
      <c r="B87" s="89"/>
      <c r="C87" s="90"/>
      <c r="D87" s="89"/>
      <c r="E87" s="91"/>
      <c r="F87" s="91"/>
      <c r="G87" s="91"/>
      <c r="H87" s="91"/>
      <c r="I87" s="91"/>
      <c r="J87" s="90"/>
      <c r="K87" s="90"/>
      <c r="L87" s="90"/>
    </row>
    <row r="88" spans="2:12">
      <c r="B88" s="89"/>
      <c r="C88" s="90"/>
      <c r="D88" s="89"/>
      <c r="E88" s="91"/>
      <c r="F88" s="91"/>
      <c r="G88" s="91"/>
      <c r="H88" s="91"/>
      <c r="I88" s="91"/>
      <c r="J88" s="90"/>
      <c r="K88" s="90"/>
      <c r="L88" s="90"/>
    </row>
    <row r="89" spans="2:12">
      <c r="B89" s="89"/>
      <c r="C89" s="90"/>
      <c r="D89" s="89"/>
      <c r="E89" s="91"/>
      <c r="F89" s="91"/>
      <c r="G89" s="91"/>
      <c r="H89" s="91"/>
      <c r="I89" s="91"/>
      <c r="J89" s="90"/>
      <c r="K89" s="90"/>
      <c r="L89" s="90"/>
    </row>
    <row r="90" spans="2:12">
      <c r="B90" s="89"/>
      <c r="C90" s="90"/>
      <c r="D90" s="89"/>
      <c r="E90" s="91"/>
      <c r="F90" s="91"/>
      <c r="G90" s="91"/>
      <c r="H90" s="91"/>
      <c r="I90" s="91"/>
      <c r="J90" s="90"/>
      <c r="K90" s="90"/>
      <c r="L90" s="90"/>
    </row>
    <row r="91" spans="2:12">
      <c r="B91" s="89"/>
      <c r="C91" s="90"/>
      <c r="D91" s="89"/>
      <c r="E91" s="91"/>
      <c r="F91" s="91"/>
      <c r="G91" s="91"/>
      <c r="H91" s="91"/>
      <c r="I91" s="91"/>
      <c r="J91" s="90"/>
      <c r="K91" s="90"/>
      <c r="L91" s="90"/>
    </row>
    <row r="92" spans="2:12">
      <c r="B92" s="89"/>
      <c r="C92" s="90"/>
      <c r="D92" s="89"/>
      <c r="E92" s="91"/>
      <c r="F92" s="91"/>
      <c r="G92" s="91"/>
      <c r="H92" s="91"/>
      <c r="I92" s="91"/>
      <c r="J92" s="90"/>
      <c r="K92" s="90"/>
      <c r="L92" s="90"/>
    </row>
    <row r="93" spans="2:12">
      <c r="B93" s="89"/>
      <c r="C93" s="90"/>
      <c r="D93" s="89"/>
      <c r="E93" s="91"/>
      <c r="F93" s="91"/>
      <c r="G93" s="91"/>
      <c r="H93" s="91"/>
      <c r="I93" s="91"/>
      <c r="J93" s="90"/>
      <c r="K93" s="90"/>
      <c r="L93" s="90"/>
    </row>
    <row r="94" spans="2:12">
      <c r="B94" s="89"/>
      <c r="C94" s="90"/>
      <c r="D94" s="89"/>
      <c r="E94" s="91"/>
      <c r="F94" s="91"/>
      <c r="G94" s="91"/>
      <c r="H94" s="91"/>
      <c r="I94" s="91"/>
      <c r="J94" s="90"/>
      <c r="K94" s="90"/>
      <c r="L94" s="90"/>
    </row>
    <row r="95" spans="2:12">
      <c r="B95" s="89"/>
      <c r="C95" s="90"/>
      <c r="D95" s="89"/>
      <c r="E95" s="91"/>
      <c r="F95" s="91"/>
      <c r="G95" s="91"/>
      <c r="H95" s="91"/>
      <c r="I95" s="91"/>
      <c r="J95" s="90"/>
      <c r="K95" s="90"/>
      <c r="L95" s="90"/>
    </row>
    <row r="96" spans="2:12">
      <c r="B96" s="89"/>
      <c r="C96" s="90"/>
      <c r="D96" s="89"/>
      <c r="E96" s="91"/>
      <c r="F96" s="91"/>
      <c r="G96" s="91"/>
      <c r="H96" s="91"/>
      <c r="I96" s="91"/>
      <c r="J96" s="90"/>
      <c r="K96" s="90"/>
      <c r="L96" s="90"/>
    </row>
    <row r="97" spans="2:12">
      <c r="B97" s="89"/>
      <c r="C97" s="90"/>
      <c r="D97" s="89"/>
      <c r="E97" s="91"/>
      <c r="F97" s="91"/>
      <c r="G97" s="91"/>
      <c r="H97" s="91"/>
      <c r="I97" s="91"/>
      <c r="J97" s="90"/>
      <c r="K97" s="90"/>
      <c r="L97" s="90"/>
    </row>
    <row r="98" spans="2:12">
      <c r="B98" s="89"/>
      <c r="C98" s="90"/>
      <c r="D98" s="89"/>
      <c r="E98" s="91"/>
      <c r="F98" s="91"/>
      <c r="G98" s="91"/>
      <c r="H98" s="91"/>
      <c r="I98" s="91"/>
      <c r="J98" s="90"/>
      <c r="K98" s="90"/>
      <c r="L98" s="90"/>
    </row>
    <row r="99" spans="2:12">
      <c r="B99" s="89"/>
      <c r="C99" s="90"/>
      <c r="D99" s="89"/>
      <c r="E99" s="91"/>
      <c r="F99" s="91"/>
      <c r="G99" s="91"/>
      <c r="H99" s="91"/>
      <c r="I99" s="91"/>
      <c r="J99" s="90"/>
      <c r="K99" s="90"/>
      <c r="L99" s="90"/>
    </row>
    <row r="100" spans="2:12">
      <c r="B100" s="89"/>
      <c r="C100" s="90"/>
      <c r="D100" s="89"/>
      <c r="E100" s="91"/>
      <c r="F100" s="91"/>
      <c r="G100" s="91"/>
      <c r="H100" s="91"/>
      <c r="I100" s="91"/>
      <c r="J100" s="90"/>
      <c r="K100" s="90"/>
      <c r="L100" s="90"/>
    </row>
    <row r="101" spans="2:12">
      <c r="B101" s="89"/>
      <c r="C101" s="90"/>
      <c r="D101" s="89"/>
      <c r="E101" s="91"/>
      <c r="F101" s="91"/>
      <c r="G101" s="91"/>
      <c r="H101" s="91"/>
      <c r="I101" s="91"/>
      <c r="J101" s="90"/>
      <c r="K101" s="90"/>
      <c r="L101" s="90"/>
    </row>
    <row r="102" spans="2:12">
      <c r="B102" s="89"/>
      <c r="C102" s="90"/>
      <c r="D102" s="89"/>
      <c r="E102" s="91"/>
      <c r="F102" s="91"/>
      <c r="G102" s="91"/>
      <c r="H102" s="91"/>
      <c r="I102" s="91"/>
      <c r="J102" s="90"/>
      <c r="K102" s="90"/>
      <c r="L102" s="90"/>
    </row>
    <row r="103" spans="2:12">
      <c r="B103" s="89"/>
      <c r="C103" s="90"/>
      <c r="D103" s="89"/>
      <c r="E103" s="91"/>
      <c r="F103" s="91"/>
      <c r="G103" s="91"/>
      <c r="H103" s="91"/>
      <c r="I103" s="91"/>
      <c r="J103" s="90"/>
      <c r="K103" s="90"/>
      <c r="L103" s="90"/>
    </row>
    <row r="104" spans="2:12">
      <c r="B104" s="89"/>
      <c r="C104" s="90"/>
      <c r="D104" s="89"/>
      <c r="E104" s="91"/>
      <c r="F104" s="91"/>
      <c r="G104" s="91"/>
      <c r="H104" s="91"/>
      <c r="I104" s="91"/>
      <c r="J104" s="90"/>
      <c r="K104" s="90"/>
      <c r="L104" s="90"/>
    </row>
    <row r="105" spans="2:12">
      <c r="B105" s="89"/>
      <c r="C105" s="90"/>
      <c r="D105" s="89"/>
      <c r="E105" s="91"/>
      <c r="F105" s="91"/>
      <c r="G105" s="91"/>
      <c r="H105" s="91"/>
      <c r="I105" s="91"/>
      <c r="J105" s="90"/>
      <c r="K105" s="90"/>
      <c r="L105" s="90"/>
    </row>
    <row r="106" spans="2:12">
      <c r="B106" s="89"/>
      <c r="C106" s="90"/>
      <c r="D106" s="89"/>
      <c r="E106" s="91"/>
      <c r="F106" s="91"/>
      <c r="G106" s="91"/>
      <c r="H106" s="91"/>
      <c r="I106" s="91"/>
      <c r="J106" s="90"/>
      <c r="K106" s="90"/>
      <c r="L106" s="90"/>
    </row>
    <row r="107" spans="2:12">
      <c r="B107" s="89"/>
      <c r="C107" s="90"/>
      <c r="D107" s="89"/>
      <c r="E107" s="91"/>
      <c r="F107" s="91"/>
      <c r="G107" s="91"/>
      <c r="H107" s="91"/>
      <c r="I107" s="91"/>
      <c r="J107" s="90"/>
      <c r="K107" s="90"/>
      <c r="L107" s="90"/>
    </row>
    <row r="108" spans="2:12">
      <c r="B108" s="89"/>
      <c r="C108" s="90"/>
      <c r="D108" s="89"/>
      <c r="E108" s="91"/>
      <c r="F108" s="91"/>
      <c r="G108" s="91"/>
      <c r="H108" s="91"/>
      <c r="I108" s="91"/>
      <c r="J108" s="90"/>
      <c r="K108" s="90"/>
      <c r="L108" s="90"/>
    </row>
    <row r="109" spans="2:12">
      <c r="B109" s="89"/>
      <c r="C109" s="90"/>
      <c r="D109" s="89"/>
      <c r="E109" s="91"/>
      <c r="F109" s="91"/>
      <c r="G109" s="91"/>
      <c r="H109" s="91"/>
      <c r="I109" s="91"/>
      <c r="J109" s="90"/>
      <c r="K109" s="90"/>
      <c r="L109" s="90"/>
    </row>
    <row r="110" spans="2:12">
      <c r="B110" s="89"/>
      <c r="C110" s="90"/>
      <c r="D110" s="89"/>
      <c r="E110" s="91"/>
      <c r="F110" s="91"/>
      <c r="G110" s="91"/>
      <c r="H110" s="91"/>
      <c r="I110" s="91"/>
      <c r="J110" s="90"/>
      <c r="K110" s="90"/>
      <c r="L110" s="90"/>
    </row>
    <row r="111" spans="2:12">
      <c r="B111" s="89"/>
      <c r="C111" s="90"/>
      <c r="D111" s="89"/>
      <c r="E111" s="91"/>
      <c r="F111" s="91"/>
      <c r="G111" s="91"/>
      <c r="H111" s="91"/>
      <c r="I111" s="91"/>
      <c r="J111" s="90"/>
      <c r="K111" s="90"/>
      <c r="L111" s="90"/>
    </row>
    <row r="112" spans="2:12">
      <c r="B112" s="89"/>
      <c r="C112" s="90"/>
      <c r="D112" s="89"/>
      <c r="E112" s="91"/>
      <c r="F112" s="91"/>
      <c r="G112" s="91"/>
      <c r="H112" s="91"/>
      <c r="I112" s="91"/>
      <c r="J112" s="90"/>
      <c r="K112" s="90"/>
      <c r="L112" s="90"/>
    </row>
    <row r="113" spans="2:12">
      <c r="B113" s="89"/>
      <c r="C113" s="90"/>
      <c r="D113" s="89"/>
      <c r="E113" s="91"/>
      <c r="F113" s="91"/>
      <c r="G113" s="91"/>
      <c r="H113" s="91"/>
      <c r="I113" s="91"/>
      <c r="J113" s="90"/>
      <c r="K113" s="90"/>
      <c r="L113" s="90"/>
    </row>
    <row r="114" spans="2:12">
      <c r="B114" s="89"/>
      <c r="C114" s="90"/>
      <c r="D114" s="89"/>
      <c r="E114" s="91"/>
      <c r="F114" s="91"/>
      <c r="G114" s="91"/>
      <c r="H114" s="91"/>
      <c r="I114" s="91"/>
      <c r="J114" s="90"/>
      <c r="K114" s="90"/>
      <c r="L114" s="90"/>
    </row>
    <row r="115" spans="2:12">
      <c r="B115" s="89"/>
      <c r="C115" s="90"/>
      <c r="D115" s="89"/>
      <c r="E115" s="91"/>
      <c r="F115" s="91"/>
      <c r="G115" s="91"/>
      <c r="H115" s="91"/>
      <c r="I115" s="91"/>
      <c r="J115" s="90"/>
      <c r="K115" s="90"/>
      <c r="L115" s="90"/>
    </row>
    <row r="116" spans="2:12">
      <c r="B116" s="89"/>
      <c r="C116" s="90"/>
      <c r="D116" s="89"/>
      <c r="E116" s="91"/>
      <c r="F116" s="91"/>
      <c r="G116" s="91"/>
      <c r="H116" s="91"/>
      <c r="I116" s="91"/>
      <c r="J116" s="90"/>
      <c r="K116" s="90"/>
      <c r="L116" s="90"/>
    </row>
    <row r="117" spans="2:12">
      <c r="B117" s="89"/>
      <c r="C117" s="90"/>
      <c r="D117" s="89"/>
      <c r="E117" s="91"/>
      <c r="F117" s="91"/>
      <c r="G117" s="91"/>
      <c r="H117" s="91"/>
      <c r="I117" s="91"/>
      <c r="J117" s="90"/>
      <c r="K117" s="90"/>
      <c r="L117" s="90"/>
    </row>
    <row r="118" spans="2:12">
      <c r="B118" s="89"/>
      <c r="C118" s="90"/>
      <c r="D118" s="89"/>
      <c r="E118" s="91"/>
      <c r="F118" s="91"/>
      <c r="G118" s="91"/>
      <c r="H118" s="91"/>
      <c r="I118" s="91"/>
      <c r="J118" s="90"/>
      <c r="K118" s="90"/>
      <c r="L118" s="90"/>
    </row>
    <row r="119" spans="2:12">
      <c r="B119" s="89"/>
      <c r="C119" s="90"/>
      <c r="D119" s="89"/>
      <c r="E119" s="91"/>
      <c r="F119" s="91"/>
      <c r="G119" s="91"/>
      <c r="H119" s="91"/>
      <c r="I119" s="91"/>
      <c r="J119" s="90"/>
      <c r="K119" s="90"/>
      <c r="L119" s="90"/>
    </row>
    <row r="120" spans="2:12">
      <c r="B120" s="89"/>
      <c r="C120" s="90"/>
      <c r="D120" s="89"/>
      <c r="E120" s="91"/>
      <c r="F120" s="91"/>
      <c r="G120" s="91"/>
      <c r="H120" s="91"/>
      <c r="I120" s="91"/>
      <c r="J120" s="90"/>
      <c r="K120" s="90"/>
      <c r="L120" s="90"/>
    </row>
    <row r="121" spans="2:12">
      <c r="B121" s="89"/>
      <c r="C121" s="90"/>
      <c r="D121" s="89"/>
      <c r="E121" s="91"/>
      <c r="F121" s="91"/>
      <c r="G121" s="91"/>
      <c r="H121" s="91"/>
      <c r="I121" s="91"/>
      <c r="J121" s="90"/>
      <c r="K121" s="90"/>
      <c r="L121" s="90"/>
    </row>
    <row r="122" spans="2:12">
      <c r="B122" s="89"/>
      <c r="C122" s="90"/>
      <c r="D122" s="89"/>
      <c r="E122" s="91"/>
      <c r="F122" s="91"/>
      <c r="G122" s="91"/>
      <c r="H122" s="91"/>
      <c r="I122" s="91"/>
      <c r="J122" s="90"/>
      <c r="K122" s="90"/>
      <c r="L122" s="90"/>
    </row>
    <row r="123" spans="2:12">
      <c r="B123" s="89"/>
      <c r="C123" s="90"/>
      <c r="D123" s="89"/>
      <c r="E123" s="91"/>
      <c r="F123" s="91"/>
      <c r="G123" s="91"/>
      <c r="H123" s="91"/>
      <c r="I123" s="91"/>
      <c r="J123" s="90"/>
      <c r="K123" s="90"/>
      <c r="L123" s="90"/>
    </row>
    <row r="124" spans="2:12">
      <c r="B124" s="89"/>
      <c r="C124" s="90"/>
      <c r="D124" s="89"/>
      <c r="E124" s="91"/>
      <c r="F124" s="91"/>
      <c r="G124" s="91"/>
      <c r="H124" s="91"/>
      <c r="I124" s="91"/>
      <c r="J124" s="90"/>
      <c r="K124" s="90"/>
      <c r="L124" s="90"/>
    </row>
    <row r="125" spans="2:12">
      <c r="B125" s="89"/>
      <c r="C125" s="90"/>
      <c r="D125" s="89"/>
      <c r="E125" s="91"/>
      <c r="F125" s="91"/>
      <c r="G125" s="91"/>
      <c r="H125" s="91"/>
      <c r="I125" s="91"/>
      <c r="J125" s="90"/>
      <c r="K125" s="90"/>
      <c r="L125" s="90"/>
    </row>
    <row r="126" spans="2:12">
      <c r="B126" s="89"/>
      <c r="C126" s="90"/>
      <c r="D126" s="89"/>
      <c r="E126" s="91"/>
      <c r="F126" s="91"/>
      <c r="G126" s="91"/>
      <c r="H126" s="91"/>
      <c r="I126" s="91"/>
      <c r="J126" s="90"/>
      <c r="K126" s="90"/>
      <c r="L126" s="90"/>
    </row>
    <row r="127" spans="2:12">
      <c r="B127" s="89"/>
      <c r="C127" s="90"/>
      <c r="D127" s="89"/>
      <c r="E127" s="91"/>
      <c r="F127" s="91"/>
      <c r="G127" s="91"/>
      <c r="H127" s="91"/>
      <c r="I127" s="91"/>
      <c r="J127" s="90"/>
      <c r="K127" s="90"/>
      <c r="L127" s="90"/>
    </row>
    <row r="128" spans="2:12">
      <c r="B128" s="89"/>
      <c r="C128" s="90"/>
      <c r="D128" s="89"/>
      <c r="E128" s="91"/>
      <c r="F128" s="91"/>
      <c r="G128" s="91"/>
      <c r="H128" s="91"/>
      <c r="I128" s="91"/>
      <c r="J128" s="90"/>
      <c r="K128" s="90"/>
      <c r="L128" s="90"/>
    </row>
    <row r="129" spans="2:12">
      <c r="B129" s="89"/>
      <c r="C129" s="90"/>
      <c r="D129" s="89"/>
      <c r="E129" s="91"/>
      <c r="F129" s="91"/>
      <c r="G129" s="91"/>
      <c r="H129" s="91"/>
      <c r="I129" s="91"/>
      <c r="J129" s="90"/>
      <c r="K129" s="90"/>
      <c r="L129" s="90"/>
    </row>
    <row r="130" spans="2:12">
      <c r="B130" s="89"/>
      <c r="C130" s="90"/>
      <c r="D130" s="89"/>
      <c r="E130" s="91"/>
      <c r="F130" s="91"/>
      <c r="G130" s="91"/>
      <c r="H130" s="91"/>
      <c r="I130" s="91"/>
      <c r="J130" s="90"/>
      <c r="K130" s="90"/>
      <c r="L130" s="90"/>
    </row>
    <row r="131" spans="2:12">
      <c r="B131" s="89"/>
      <c r="C131" s="90"/>
      <c r="D131" s="89"/>
      <c r="E131" s="91"/>
      <c r="F131" s="91"/>
      <c r="G131" s="91"/>
      <c r="H131" s="91"/>
      <c r="I131" s="91"/>
      <c r="J131" s="90"/>
      <c r="K131" s="90"/>
      <c r="L131" s="90"/>
    </row>
    <row r="132" spans="2:12">
      <c r="B132" s="89"/>
      <c r="C132" s="90"/>
      <c r="D132" s="89"/>
      <c r="E132" s="91"/>
      <c r="F132" s="91"/>
      <c r="G132" s="91"/>
      <c r="H132" s="91"/>
      <c r="I132" s="91"/>
      <c r="J132" s="90"/>
      <c r="K132" s="90"/>
      <c r="L132" s="90"/>
    </row>
    <row r="133" spans="2:12">
      <c r="B133" s="89"/>
      <c r="C133" s="90"/>
      <c r="D133" s="89"/>
      <c r="E133" s="91"/>
      <c r="F133" s="91"/>
      <c r="G133" s="91"/>
      <c r="H133" s="91"/>
      <c r="I133" s="91"/>
      <c r="J133" s="90"/>
      <c r="K133" s="90"/>
      <c r="L133" s="90"/>
    </row>
    <row r="134" spans="2:12">
      <c r="B134" s="89"/>
      <c r="C134" s="90"/>
      <c r="D134" s="89"/>
      <c r="E134" s="91"/>
      <c r="F134" s="91"/>
      <c r="G134" s="91"/>
      <c r="H134" s="91"/>
      <c r="I134" s="91"/>
      <c r="J134" s="90"/>
      <c r="K134" s="90"/>
      <c r="L134" s="90"/>
    </row>
    <row r="135" spans="2:12">
      <c r="B135" s="89"/>
      <c r="C135" s="90"/>
      <c r="D135" s="89"/>
      <c r="E135" s="91"/>
      <c r="F135" s="91"/>
      <c r="G135" s="91"/>
      <c r="H135" s="91"/>
      <c r="I135" s="91"/>
      <c r="J135" s="90"/>
      <c r="K135" s="90"/>
      <c r="L135" s="90"/>
    </row>
    <row r="136" spans="2:12">
      <c r="B136" s="89"/>
      <c r="C136" s="90"/>
      <c r="D136" s="89"/>
      <c r="E136" s="91"/>
      <c r="F136" s="91"/>
      <c r="G136" s="91"/>
      <c r="H136" s="91"/>
      <c r="I136" s="91"/>
      <c r="J136" s="90"/>
      <c r="K136" s="90"/>
      <c r="L136" s="90"/>
    </row>
    <row r="137" spans="2:12">
      <c r="B137" s="89"/>
      <c r="C137" s="90"/>
      <c r="D137" s="89"/>
      <c r="E137" s="91"/>
      <c r="F137" s="91"/>
      <c r="G137" s="91"/>
      <c r="H137" s="91"/>
      <c r="I137" s="91"/>
      <c r="J137" s="90"/>
      <c r="K137" s="90"/>
      <c r="L137" s="90"/>
    </row>
    <row r="138" spans="2:12">
      <c r="B138" s="89"/>
      <c r="C138" s="90"/>
      <c r="D138" s="89"/>
      <c r="E138" s="91"/>
      <c r="F138" s="91"/>
      <c r="G138" s="91"/>
      <c r="H138" s="91"/>
      <c r="I138" s="91"/>
      <c r="J138" s="90"/>
      <c r="K138" s="90"/>
      <c r="L138" s="90"/>
    </row>
    <row r="139" spans="2:12">
      <c r="B139" s="89"/>
      <c r="C139" s="90"/>
      <c r="D139" s="89"/>
      <c r="E139" s="91"/>
      <c r="F139" s="91"/>
      <c r="G139" s="91"/>
      <c r="H139" s="91"/>
      <c r="I139" s="91"/>
      <c r="J139" s="90"/>
      <c r="K139" s="90"/>
      <c r="L139" s="90"/>
    </row>
    <row r="140" spans="2:12">
      <c r="B140" s="89"/>
      <c r="C140" s="90"/>
      <c r="D140" s="89"/>
      <c r="E140" s="91"/>
      <c r="F140" s="91"/>
      <c r="G140" s="91"/>
      <c r="H140" s="91"/>
      <c r="I140" s="91"/>
      <c r="J140" s="90"/>
      <c r="K140" s="90"/>
      <c r="L140" s="90"/>
    </row>
    <row r="141" spans="2:12">
      <c r="B141" s="89"/>
      <c r="C141" s="90"/>
      <c r="D141" s="89"/>
      <c r="E141" s="91"/>
      <c r="F141" s="91"/>
      <c r="G141" s="91"/>
      <c r="H141" s="91"/>
      <c r="I141" s="91"/>
      <c r="J141" s="90"/>
      <c r="K141" s="90"/>
      <c r="L141" s="90"/>
    </row>
    <row r="142" spans="2:12">
      <c r="B142" s="89"/>
      <c r="C142" s="90"/>
      <c r="D142" s="89"/>
      <c r="E142" s="91"/>
      <c r="F142" s="91"/>
      <c r="G142" s="91"/>
      <c r="H142" s="91"/>
      <c r="I142" s="91"/>
      <c r="J142" s="90"/>
      <c r="K142" s="90"/>
      <c r="L142" s="90"/>
    </row>
    <row r="143" spans="2:12">
      <c r="B143" s="89"/>
      <c r="C143" s="90"/>
      <c r="D143" s="89"/>
      <c r="E143" s="91"/>
      <c r="F143" s="91"/>
      <c r="G143" s="91"/>
      <c r="H143" s="91"/>
      <c r="I143" s="91"/>
      <c r="J143" s="90"/>
      <c r="K143" s="90"/>
      <c r="L143" s="90"/>
    </row>
    <row r="144" spans="2:12">
      <c r="B144" s="89"/>
      <c r="C144" s="90"/>
      <c r="D144" s="89"/>
      <c r="E144" s="91"/>
      <c r="F144" s="91"/>
      <c r="G144" s="91"/>
      <c r="H144" s="91"/>
      <c r="I144" s="91"/>
      <c r="J144" s="90"/>
      <c r="K144" s="90"/>
      <c r="L144" s="90"/>
    </row>
    <row r="145" spans="2:12">
      <c r="B145" s="89"/>
      <c r="C145" s="90"/>
      <c r="D145" s="89"/>
      <c r="E145" s="91"/>
      <c r="F145" s="91"/>
      <c r="G145" s="91"/>
      <c r="H145" s="91"/>
      <c r="I145" s="91"/>
      <c r="J145" s="90"/>
      <c r="K145" s="90"/>
      <c r="L145" s="90"/>
    </row>
    <row r="146" spans="2:12">
      <c r="B146" s="89"/>
      <c r="C146" s="90"/>
      <c r="D146" s="89"/>
      <c r="E146" s="91"/>
      <c r="F146" s="91"/>
      <c r="G146" s="91"/>
      <c r="H146" s="91"/>
      <c r="I146" s="91"/>
      <c r="J146" s="90"/>
      <c r="K146" s="90"/>
      <c r="L146" s="90"/>
    </row>
    <row r="147" spans="2:12">
      <c r="B147" s="89"/>
      <c r="C147" s="90"/>
      <c r="D147" s="89"/>
      <c r="E147" s="91"/>
      <c r="F147" s="91"/>
      <c r="G147" s="91"/>
      <c r="H147" s="91"/>
      <c r="I147" s="91"/>
      <c r="J147" s="90"/>
      <c r="K147" s="90"/>
      <c r="L147" s="90"/>
    </row>
    <row r="148" spans="2:12">
      <c r="B148" s="89"/>
      <c r="C148" s="90"/>
      <c r="D148" s="89"/>
      <c r="E148" s="91"/>
      <c r="F148" s="91"/>
      <c r="G148" s="91"/>
      <c r="H148" s="91"/>
      <c r="I148" s="91"/>
      <c r="J148" s="90"/>
      <c r="K148" s="90"/>
      <c r="L148" s="90"/>
    </row>
    <row r="149" spans="2:12">
      <c r="B149" s="89"/>
      <c r="C149" s="90"/>
      <c r="D149" s="89"/>
      <c r="E149" s="91"/>
      <c r="F149" s="91"/>
      <c r="G149" s="91"/>
      <c r="H149" s="91"/>
      <c r="I149" s="91"/>
      <c r="J149" s="90"/>
      <c r="K149" s="90"/>
      <c r="L149" s="90"/>
    </row>
    <row r="150" spans="2:12">
      <c r="B150" s="89"/>
      <c r="C150" s="90"/>
      <c r="D150" s="89"/>
      <c r="E150" s="91"/>
      <c r="F150" s="91"/>
      <c r="G150" s="91"/>
      <c r="H150" s="91"/>
      <c r="I150" s="91"/>
      <c r="J150" s="90"/>
      <c r="K150" s="90"/>
      <c r="L150" s="90"/>
    </row>
    <row r="151" spans="2:12">
      <c r="B151" s="89"/>
      <c r="C151" s="90"/>
      <c r="D151" s="89"/>
      <c r="E151" s="91"/>
      <c r="F151" s="91"/>
      <c r="G151" s="91"/>
      <c r="H151" s="91"/>
      <c r="I151" s="91"/>
      <c r="J151" s="90"/>
      <c r="K151" s="90"/>
      <c r="L151" s="90"/>
    </row>
    <row r="152" spans="2:12">
      <c r="B152" s="89"/>
      <c r="C152" s="90"/>
      <c r="D152" s="89"/>
      <c r="E152" s="91"/>
      <c r="F152" s="91"/>
      <c r="G152" s="91"/>
      <c r="H152" s="91"/>
      <c r="I152" s="91"/>
      <c r="J152" s="90"/>
      <c r="K152" s="90"/>
      <c r="L152" s="90"/>
    </row>
    <row r="153" spans="2:12">
      <c r="B153" s="89"/>
      <c r="C153" s="90"/>
      <c r="D153" s="89"/>
      <c r="E153" s="91"/>
      <c r="F153" s="91"/>
      <c r="G153" s="91"/>
      <c r="H153" s="91"/>
      <c r="I153" s="91"/>
      <c r="J153" s="90"/>
      <c r="K153" s="90"/>
      <c r="L153" s="90"/>
    </row>
    <row r="154" spans="2:12">
      <c r="B154" s="89"/>
      <c r="C154" s="90"/>
      <c r="D154" s="89"/>
      <c r="E154" s="91"/>
      <c r="F154" s="91"/>
      <c r="G154" s="91"/>
      <c r="H154" s="91"/>
      <c r="I154" s="91"/>
      <c r="J154" s="90"/>
      <c r="K154" s="90"/>
      <c r="L154" s="90"/>
    </row>
    <row r="155" spans="2:12">
      <c r="B155" s="89"/>
      <c r="C155" s="90"/>
      <c r="D155" s="89"/>
      <c r="E155" s="91"/>
      <c r="F155" s="91"/>
      <c r="G155" s="91"/>
      <c r="H155" s="91"/>
      <c r="I155" s="91"/>
      <c r="J155" s="90"/>
      <c r="K155" s="90"/>
      <c r="L155" s="90"/>
    </row>
    <row r="156" spans="2:12">
      <c r="B156" s="89"/>
      <c r="C156" s="90"/>
      <c r="D156" s="89"/>
      <c r="E156" s="91"/>
      <c r="F156" s="91"/>
      <c r="G156" s="91"/>
      <c r="H156" s="91"/>
      <c r="I156" s="91"/>
      <c r="J156" s="90"/>
      <c r="K156" s="90"/>
      <c r="L156" s="90"/>
    </row>
    <row r="157" spans="2:12">
      <c r="B157" s="89"/>
      <c r="C157" s="90"/>
      <c r="D157" s="89"/>
      <c r="E157" s="91"/>
      <c r="F157" s="91"/>
      <c r="G157" s="91"/>
      <c r="H157" s="91"/>
      <c r="I157" s="91"/>
      <c r="J157" s="90"/>
      <c r="K157" s="90"/>
      <c r="L157" s="90"/>
    </row>
    <row r="158" spans="2:12">
      <c r="B158" s="89"/>
      <c r="C158" s="90"/>
      <c r="D158" s="89"/>
      <c r="E158" s="91"/>
      <c r="F158" s="91"/>
      <c r="G158" s="91"/>
      <c r="H158" s="91"/>
      <c r="I158" s="91"/>
      <c r="J158" s="90"/>
      <c r="K158" s="90"/>
      <c r="L158" s="90"/>
    </row>
    <row r="159" spans="2:12">
      <c r="B159" s="89"/>
      <c r="C159" s="90"/>
      <c r="D159" s="89"/>
      <c r="E159" s="91"/>
      <c r="F159" s="91"/>
      <c r="G159" s="91"/>
      <c r="H159" s="91"/>
      <c r="I159" s="91"/>
      <c r="J159" s="90"/>
      <c r="K159" s="90"/>
      <c r="L159" s="90"/>
    </row>
    <row r="160" spans="2:12">
      <c r="B160" s="89"/>
      <c r="C160" s="90"/>
      <c r="D160" s="89"/>
      <c r="E160" s="91"/>
      <c r="F160" s="91"/>
      <c r="G160" s="91"/>
      <c r="H160" s="91"/>
      <c r="I160" s="91"/>
      <c r="J160" s="90"/>
      <c r="K160" s="90"/>
      <c r="L160" s="90"/>
    </row>
    <row r="161" spans="2:12">
      <c r="B161" s="89"/>
      <c r="C161" s="90"/>
      <c r="D161" s="89"/>
      <c r="E161" s="91"/>
      <c r="F161" s="91"/>
      <c r="G161" s="91"/>
      <c r="H161" s="91"/>
      <c r="I161" s="91"/>
      <c r="J161" s="90"/>
      <c r="K161" s="90"/>
      <c r="L161" s="90"/>
    </row>
    <row r="162" spans="2:12">
      <c r="B162" s="89"/>
      <c r="C162" s="90"/>
      <c r="D162" s="89"/>
      <c r="E162" s="91"/>
      <c r="F162" s="91"/>
      <c r="G162" s="91"/>
      <c r="H162" s="91"/>
      <c r="I162" s="91"/>
      <c r="J162" s="90"/>
      <c r="K162" s="90"/>
      <c r="L162" s="90"/>
    </row>
    <row r="163" spans="2:12">
      <c r="B163" s="89"/>
      <c r="C163" s="90"/>
      <c r="D163" s="89"/>
      <c r="E163" s="91"/>
      <c r="F163" s="91"/>
      <c r="G163" s="91"/>
      <c r="H163" s="91"/>
      <c r="I163" s="91"/>
      <c r="J163" s="90"/>
      <c r="K163" s="90"/>
      <c r="L163" s="90"/>
    </row>
    <row r="164" spans="2:12">
      <c r="B164" s="89"/>
      <c r="C164" s="90"/>
      <c r="D164" s="89"/>
      <c r="E164" s="91"/>
      <c r="F164" s="91"/>
      <c r="G164" s="91"/>
      <c r="H164" s="91"/>
      <c r="I164" s="91"/>
      <c r="J164" s="90"/>
      <c r="K164" s="90"/>
      <c r="L164" s="90"/>
    </row>
    <row r="165" spans="2:12">
      <c r="B165" s="89"/>
      <c r="C165" s="90"/>
      <c r="D165" s="89"/>
      <c r="E165" s="91"/>
      <c r="F165" s="91"/>
      <c r="G165" s="91"/>
      <c r="H165" s="91"/>
      <c r="I165" s="91"/>
      <c r="J165" s="90"/>
      <c r="K165" s="90"/>
      <c r="L165" s="90"/>
    </row>
    <row r="166" spans="2:12">
      <c r="B166" s="89"/>
      <c r="C166" s="90"/>
      <c r="D166" s="89"/>
      <c r="E166" s="91"/>
      <c r="F166" s="91"/>
      <c r="G166" s="91"/>
      <c r="H166" s="91"/>
      <c r="I166" s="91"/>
      <c r="J166" s="90"/>
      <c r="K166" s="90"/>
      <c r="L166" s="90"/>
    </row>
    <row r="167" spans="2:12">
      <c r="B167" s="89"/>
      <c r="C167" s="90"/>
      <c r="D167" s="89"/>
      <c r="E167" s="91"/>
      <c r="F167" s="91"/>
      <c r="G167" s="91"/>
      <c r="H167" s="91"/>
      <c r="I167" s="91"/>
      <c r="J167" s="90"/>
      <c r="K167" s="90"/>
      <c r="L167" s="90"/>
    </row>
    <row r="168" spans="2:12">
      <c r="B168" s="89"/>
      <c r="C168" s="90"/>
      <c r="D168" s="89"/>
      <c r="E168" s="91"/>
      <c r="F168" s="91"/>
      <c r="G168" s="91"/>
      <c r="H168" s="91"/>
      <c r="I168" s="91"/>
      <c r="J168" s="90"/>
      <c r="K168" s="90"/>
      <c r="L168" s="90"/>
    </row>
    <row r="169" spans="2:12">
      <c r="B169" s="89"/>
      <c r="C169" s="90"/>
      <c r="D169" s="89"/>
      <c r="E169" s="91"/>
      <c r="F169" s="91"/>
      <c r="G169" s="91"/>
      <c r="H169" s="91"/>
      <c r="I169" s="91"/>
      <c r="J169" s="90"/>
      <c r="K169" s="90"/>
      <c r="L169" s="90"/>
    </row>
    <row r="170" spans="2:12">
      <c r="B170" s="89"/>
      <c r="C170" s="90"/>
      <c r="D170" s="89"/>
      <c r="E170" s="91"/>
      <c r="F170" s="91"/>
      <c r="G170" s="91"/>
      <c r="H170" s="91"/>
      <c r="I170" s="91"/>
      <c r="J170" s="90"/>
      <c r="K170" s="90"/>
      <c r="L170" s="90"/>
    </row>
    <row r="171" spans="2:12">
      <c r="B171" s="89"/>
      <c r="C171" s="90"/>
      <c r="D171" s="89"/>
      <c r="E171" s="91"/>
      <c r="F171" s="91"/>
      <c r="G171" s="91"/>
      <c r="H171" s="91"/>
      <c r="I171" s="91"/>
      <c r="J171" s="90"/>
      <c r="K171" s="90"/>
      <c r="L171" s="90"/>
    </row>
    <row r="172" spans="2:12">
      <c r="B172" s="89"/>
      <c r="C172" s="90"/>
      <c r="D172" s="89"/>
      <c r="E172" s="91"/>
      <c r="F172" s="91"/>
      <c r="G172" s="91"/>
      <c r="H172" s="91"/>
      <c r="I172" s="91"/>
      <c r="J172" s="90"/>
      <c r="K172" s="90"/>
      <c r="L172" s="90"/>
    </row>
    <row r="173" spans="2:12">
      <c r="B173" s="89"/>
      <c r="C173" s="90"/>
      <c r="D173" s="89"/>
      <c r="E173" s="91"/>
      <c r="F173" s="91"/>
      <c r="G173" s="91"/>
      <c r="H173" s="91"/>
      <c r="I173" s="91"/>
      <c r="J173" s="90"/>
      <c r="K173" s="90"/>
      <c r="L173" s="90"/>
    </row>
    <row r="174" spans="2:12">
      <c r="B174" s="89"/>
      <c r="C174" s="90"/>
      <c r="D174" s="89"/>
      <c r="E174" s="91"/>
      <c r="F174" s="91"/>
      <c r="G174" s="91"/>
      <c r="H174" s="91"/>
      <c r="I174" s="91"/>
      <c r="J174" s="90"/>
      <c r="K174" s="90"/>
      <c r="L174" s="90"/>
    </row>
    <row r="175" spans="2:12">
      <c r="B175" s="89"/>
      <c r="C175" s="90"/>
      <c r="D175" s="89"/>
      <c r="E175" s="91"/>
      <c r="F175" s="91"/>
      <c r="G175" s="91"/>
      <c r="H175" s="91"/>
      <c r="I175" s="91"/>
      <c r="J175" s="90"/>
      <c r="K175" s="90"/>
      <c r="L175" s="90"/>
    </row>
    <row r="176" spans="2:12">
      <c r="B176" s="89"/>
      <c r="C176" s="90"/>
      <c r="D176" s="89"/>
      <c r="E176" s="91"/>
      <c r="F176" s="91"/>
      <c r="G176" s="91"/>
      <c r="H176" s="91"/>
      <c r="I176" s="91"/>
      <c r="J176" s="90"/>
      <c r="K176" s="90"/>
      <c r="L176" s="90"/>
    </row>
    <row r="177" spans="2:12">
      <c r="B177" s="89"/>
      <c r="C177" s="90"/>
      <c r="D177" s="89"/>
      <c r="E177" s="91"/>
      <c r="F177" s="91"/>
      <c r="G177" s="91"/>
      <c r="H177" s="91"/>
      <c r="I177" s="91"/>
      <c r="J177" s="90"/>
      <c r="K177" s="90"/>
      <c r="L177" s="90"/>
    </row>
    <row r="178" spans="2:12">
      <c r="B178" s="89"/>
      <c r="C178" s="90"/>
      <c r="D178" s="89"/>
      <c r="E178" s="91"/>
      <c r="F178" s="91"/>
      <c r="G178" s="91"/>
      <c r="H178" s="91"/>
      <c r="I178" s="91"/>
      <c r="J178" s="90"/>
      <c r="K178" s="90"/>
      <c r="L178" s="90"/>
    </row>
    <row r="179" spans="2:12">
      <c r="B179" s="89"/>
      <c r="C179" s="90"/>
      <c r="D179" s="89"/>
      <c r="E179" s="91"/>
      <c r="F179" s="91"/>
      <c r="G179" s="91"/>
      <c r="H179" s="91"/>
      <c r="I179" s="91"/>
      <c r="J179" s="90"/>
      <c r="K179" s="90"/>
      <c r="L179" s="90"/>
    </row>
    <row r="180" spans="2:12">
      <c r="B180" s="89"/>
      <c r="C180" s="90"/>
      <c r="D180" s="89"/>
      <c r="E180" s="91"/>
      <c r="F180" s="91"/>
      <c r="G180" s="91"/>
      <c r="H180" s="91"/>
      <c r="I180" s="91"/>
      <c r="J180" s="90"/>
      <c r="K180" s="90"/>
      <c r="L180" s="90"/>
    </row>
    <row r="181" spans="2:12">
      <c r="B181" s="89"/>
      <c r="C181" s="90"/>
      <c r="D181" s="89"/>
      <c r="E181" s="91"/>
      <c r="F181" s="91"/>
      <c r="G181" s="91"/>
      <c r="H181" s="91"/>
      <c r="I181" s="91"/>
      <c r="J181" s="90"/>
      <c r="K181" s="90"/>
      <c r="L181" s="90"/>
    </row>
    <row r="182" spans="2:12">
      <c r="B182" s="89"/>
      <c r="C182" s="90"/>
      <c r="D182" s="89"/>
      <c r="E182" s="91"/>
      <c r="F182" s="91"/>
      <c r="G182" s="91"/>
      <c r="H182" s="91"/>
      <c r="I182" s="91"/>
      <c r="J182" s="90"/>
      <c r="K182" s="90"/>
      <c r="L182" s="90"/>
    </row>
    <row r="183" spans="2:12">
      <c r="B183" s="89"/>
      <c r="C183" s="90"/>
      <c r="D183" s="89"/>
      <c r="E183" s="91"/>
      <c r="F183" s="91"/>
      <c r="G183" s="91"/>
      <c r="H183" s="91"/>
      <c r="I183" s="91"/>
      <c r="J183" s="90"/>
      <c r="K183" s="90"/>
      <c r="L183" s="90"/>
    </row>
    <row r="184" spans="2:12">
      <c r="B184" s="89"/>
      <c r="C184" s="90"/>
      <c r="D184" s="89"/>
      <c r="E184" s="91"/>
      <c r="F184" s="91"/>
      <c r="G184" s="91"/>
      <c r="H184" s="91"/>
      <c r="I184" s="91"/>
      <c r="J184" s="90"/>
      <c r="K184" s="90"/>
      <c r="L184" s="90"/>
    </row>
    <row r="185" spans="2:12">
      <c r="B185" s="89"/>
      <c r="C185" s="90"/>
      <c r="D185" s="89"/>
      <c r="E185" s="91"/>
      <c r="F185" s="91"/>
      <c r="G185" s="91"/>
      <c r="H185" s="91"/>
      <c r="I185" s="91"/>
      <c r="J185" s="90"/>
      <c r="K185" s="90"/>
      <c r="L185" s="90"/>
    </row>
    <row r="186" spans="2:12">
      <c r="B186" s="89"/>
      <c r="C186" s="90"/>
      <c r="D186" s="89"/>
      <c r="E186" s="91"/>
      <c r="F186" s="91"/>
      <c r="G186" s="91"/>
      <c r="H186" s="91"/>
      <c r="I186" s="91"/>
      <c r="J186" s="90"/>
      <c r="K186" s="90"/>
      <c r="L186" s="90"/>
    </row>
    <row r="187" spans="2:12">
      <c r="B187" s="89"/>
      <c r="C187" s="90"/>
      <c r="D187" s="89"/>
      <c r="E187" s="91"/>
      <c r="F187" s="91"/>
      <c r="G187" s="91"/>
      <c r="H187" s="91"/>
      <c r="I187" s="91"/>
      <c r="J187" s="90"/>
      <c r="K187" s="90"/>
      <c r="L187" s="90"/>
    </row>
    <row r="188" spans="2:12">
      <c r="B188" s="89"/>
      <c r="C188" s="90"/>
      <c r="D188" s="89"/>
      <c r="E188" s="91"/>
      <c r="F188" s="91"/>
      <c r="G188" s="91"/>
      <c r="H188" s="91"/>
      <c r="I188" s="91"/>
      <c r="J188" s="90"/>
      <c r="K188" s="90"/>
      <c r="L188" s="90"/>
    </row>
    <row r="189" spans="2:12">
      <c r="B189" s="89"/>
      <c r="C189" s="90"/>
      <c r="D189" s="89"/>
      <c r="E189" s="91"/>
      <c r="F189" s="91"/>
      <c r="G189" s="91"/>
      <c r="H189" s="91"/>
      <c r="I189" s="91"/>
      <c r="J189" s="90"/>
      <c r="K189" s="90"/>
      <c r="L189" s="90"/>
    </row>
    <row r="190" spans="2:12">
      <c r="B190" s="89"/>
      <c r="C190" s="90"/>
      <c r="D190" s="89"/>
      <c r="E190" s="91"/>
      <c r="F190" s="91"/>
      <c r="G190" s="91"/>
      <c r="H190" s="91"/>
      <c r="I190" s="91"/>
      <c r="J190" s="90"/>
      <c r="K190" s="90"/>
      <c r="L190" s="90"/>
    </row>
    <row r="191" spans="2:12">
      <c r="B191" s="89"/>
      <c r="C191" s="90"/>
      <c r="D191" s="89"/>
      <c r="E191" s="91"/>
      <c r="F191" s="91"/>
      <c r="G191" s="91"/>
      <c r="H191" s="91"/>
      <c r="I191" s="91"/>
      <c r="J191" s="90"/>
      <c r="K191" s="90"/>
      <c r="L191" s="90"/>
    </row>
    <row r="192" spans="2:12">
      <c r="B192" s="89"/>
      <c r="C192" s="90"/>
      <c r="D192" s="89"/>
      <c r="E192" s="91"/>
      <c r="F192" s="91"/>
      <c r="G192" s="91"/>
      <c r="H192" s="91"/>
      <c r="I192" s="91"/>
      <c r="J192" s="90"/>
      <c r="K192" s="90"/>
      <c r="L192" s="90"/>
    </row>
    <row r="193" spans="2:12">
      <c r="B193" s="89"/>
      <c r="C193" s="90"/>
      <c r="D193" s="89"/>
      <c r="E193" s="91"/>
      <c r="F193" s="91"/>
      <c r="G193" s="91"/>
      <c r="H193" s="91"/>
      <c r="I193" s="91"/>
      <c r="J193" s="90"/>
      <c r="K193" s="90"/>
      <c r="L193" s="90"/>
    </row>
    <row r="194" spans="2:12">
      <c r="B194" s="89"/>
      <c r="C194" s="90"/>
      <c r="D194" s="89"/>
      <c r="E194" s="91"/>
      <c r="F194" s="91"/>
      <c r="G194" s="91"/>
      <c r="H194" s="91"/>
      <c r="I194" s="91"/>
      <c r="J194" s="90"/>
      <c r="K194" s="90"/>
      <c r="L194" s="90"/>
    </row>
    <row r="195" spans="2:12">
      <c r="B195" s="89"/>
      <c r="C195" s="90"/>
      <c r="D195" s="89"/>
      <c r="E195" s="91"/>
      <c r="F195" s="91"/>
      <c r="G195" s="91"/>
      <c r="H195" s="91"/>
      <c r="I195" s="91"/>
      <c r="J195" s="90"/>
      <c r="K195" s="90"/>
      <c r="L195" s="90"/>
    </row>
    <row r="196" spans="2:12">
      <c r="B196" s="89"/>
      <c r="C196" s="90"/>
      <c r="D196" s="89"/>
      <c r="E196" s="91"/>
      <c r="F196" s="91"/>
      <c r="G196" s="91"/>
      <c r="H196" s="91"/>
      <c r="I196" s="91"/>
      <c r="J196" s="90"/>
      <c r="K196" s="90"/>
      <c r="L196" s="90"/>
    </row>
    <row r="197" spans="2:12">
      <c r="B197" s="89"/>
      <c r="C197" s="90"/>
      <c r="D197" s="89"/>
      <c r="E197" s="91"/>
      <c r="F197" s="91"/>
      <c r="G197" s="91"/>
      <c r="H197" s="91"/>
      <c r="I197" s="91"/>
      <c r="J197" s="90"/>
      <c r="K197" s="90"/>
      <c r="L197" s="90"/>
    </row>
    <row r="198" spans="2:12">
      <c r="B198" s="89"/>
      <c r="C198" s="90"/>
      <c r="D198" s="89"/>
      <c r="E198" s="91"/>
      <c r="F198" s="91"/>
      <c r="G198" s="91"/>
      <c r="H198" s="91"/>
      <c r="I198" s="91"/>
      <c r="J198" s="90"/>
      <c r="K198" s="90"/>
      <c r="L198" s="90"/>
    </row>
    <row r="199" spans="2:12">
      <c r="B199" s="89"/>
      <c r="C199" s="90"/>
      <c r="D199" s="89"/>
      <c r="E199" s="91"/>
      <c r="F199" s="91"/>
      <c r="G199" s="91"/>
      <c r="H199" s="91"/>
      <c r="I199" s="91"/>
      <c r="J199" s="90"/>
      <c r="K199" s="90"/>
      <c r="L199" s="90"/>
    </row>
    <row r="200" spans="2:12">
      <c r="B200" s="89"/>
      <c r="C200" s="90"/>
      <c r="D200" s="89"/>
      <c r="E200" s="91"/>
      <c r="F200" s="91"/>
      <c r="G200" s="91"/>
      <c r="H200" s="91"/>
      <c r="I200" s="91"/>
      <c r="J200" s="90"/>
      <c r="K200" s="90"/>
      <c r="L200" s="90"/>
    </row>
    <row r="201" spans="2:12">
      <c r="B201" s="89"/>
      <c r="C201" s="90"/>
      <c r="D201" s="89"/>
      <c r="E201" s="91"/>
      <c r="F201" s="91"/>
      <c r="G201" s="91"/>
      <c r="H201" s="91"/>
      <c r="I201" s="91"/>
      <c r="J201" s="90"/>
      <c r="K201" s="90"/>
      <c r="L201" s="90"/>
    </row>
    <row r="202" spans="2:12">
      <c r="B202" s="89"/>
      <c r="C202" s="90"/>
      <c r="D202" s="89"/>
      <c r="E202" s="91"/>
      <c r="F202" s="91"/>
      <c r="G202" s="91"/>
      <c r="H202" s="91"/>
      <c r="I202" s="91"/>
      <c r="J202" s="90"/>
      <c r="K202" s="90"/>
      <c r="L202" s="90"/>
    </row>
    <row r="203" spans="2:12">
      <c r="B203" s="89"/>
      <c r="C203" s="90"/>
      <c r="D203" s="89"/>
      <c r="E203" s="91"/>
      <c r="F203" s="91"/>
      <c r="G203" s="91"/>
      <c r="H203" s="91"/>
      <c r="I203" s="91"/>
      <c r="J203" s="90"/>
      <c r="K203" s="90"/>
      <c r="L203" s="90"/>
    </row>
    <row r="204" spans="2:12">
      <c r="B204" s="89"/>
      <c r="C204" s="90"/>
      <c r="D204" s="89"/>
      <c r="E204" s="91"/>
      <c r="F204" s="91"/>
      <c r="G204" s="91"/>
      <c r="H204" s="91"/>
      <c r="I204" s="91"/>
      <c r="J204" s="90"/>
      <c r="K204" s="90"/>
      <c r="L204" s="90"/>
    </row>
    <row r="205" spans="2:12">
      <c r="B205" s="89"/>
      <c r="C205" s="90"/>
      <c r="D205" s="89"/>
      <c r="E205" s="91"/>
      <c r="F205" s="91"/>
      <c r="G205" s="91"/>
      <c r="H205" s="91"/>
      <c r="I205" s="91"/>
      <c r="J205" s="90"/>
      <c r="K205" s="90"/>
      <c r="L205" s="90"/>
    </row>
    <row r="206" spans="2:12">
      <c r="B206" s="89"/>
      <c r="C206" s="90"/>
      <c r="D206" s="89"/>
      <c r="E206" s="91"/>
      <c r="F206" s="91"/>
      <c r="G206" s="91"/>
      <c r="H206" s="91"/>
      <c r="I206" s="91"/>
      <c r="J206" s="90"/>
      <c r="K206" s="90"/>
      <c r="L206" s="90"/>
    </row>
    <row r="207" spans="2:12">
      <c r="B207" s="89"/>
      <c r="C207" s="90"/>
      <c r="D207" s="89"/>
      <c r="E207" s="91"/>
      <c r="F207" s="91"/>
      <c r="G207" s="91"/>
      <c r="H207" s="91"/>
      <c r="I207" s="91"/>
      <c r="J207" s="90"/>
      <c r="K207" s="90"/>
      <c r="L207" s="90"/>
    </row>
    <row r="208" spans="2:12">
      <c r="B208" s="89"/>
      <c r="C208" s="90"/>
      <c r="D208" s="89"/>
      <c r="E208" s="91"/>
      <c r="F208" s="91"/>
      <c r="G208" s="91"/>
      <c r="H208" s="91"/>
      <c r="I208" s="91"/>
      <c r="J208" s="90"/>
      <c r="K208" s="90"/>
      <c r="L208" s="90"/>
    </row>
    <row r="209" spans="2:12">
      <c r="B209" s="89"/>
      <c r="C209" s="90"/>
      <c r="D209" s="89"/>
      <c r="E209" s="91"/>
      <c r="F209" s="91"/>
      <c r="G209" s="91"/>
      <c r="H209" s="91"/>
      <c r="I209" s="91"/>
      <c r="J209" s="90"/>
      <c r="K209" s="90"/>
      <c r="L209" s="90"/>
    </row>
    <row r="210" spans="2:12">
      <c r="B210" s="89"/>
      <c r="C210" s="90"/>
      <c r="D210" s="89"/>
      <c r="E210" s="91"/>
      <c r="F210" s="91"/>
      <c r="G210" s="91"/>
      <c r="H210" s="91"/>
      <c r="I210" s="91"/>
      <c r="J210" s="90"/>
      <c r="K210" s="90"/>
      <c r="L210" s="90"/>
    </row>
    <row r="211" spans="2:12">
      <c r="B211" s="89"/>
      <c r="C211" s="90"/>
      <c r="D211" s="89"/>
      <c r="E211" s="91"/>
      <c r="F211" s="91"/>
      <c r="G211" s="91"/>
      <c r="H211" s="91"/>
      <c r="I211" s="91"/>
      <c r="J211" s="90"/>
      <c r="K211" s="90"/>
      <c r="L211" s="90"/>
    </row>
    <row r="212" spans="2:12">
      <c r="B212" s="89"/>
      <c r="C212" s="90"/>
      <c r="D212" s="89"/>
      <c r="E212" s="91"/>
      <c r="F212" s="91"/>
      <c r="G212" s="91"/>
      <c r="H212" s="91"/>
      <c r="I212" s="91"/>
      <c r="J212" s="90"/>
      <c r="K212" s="90"/>
      <c r="L212" s="90"/>
    </row>
    <row r="213" spans="2:12">
      <c r="B213" s="89"/>
      <c r="C213" s="90"/>
      <c r="D213" s="89"/>
      <c r="E213" s="91"/>
      <c r="F213" s="91"/>
      <c r="G213" s="91"/>
      <c r="H213" s="91"/>
      <c r="I213" s="91"/>
      <c r="J213" s="90"/>
      <c r="K213" s="90"/>
      <c r="L213" s="90"/>
    </row>
    <row r="214" spans="2:12">
      <c r="B214" s="89"/>
      <c r="C214" s="90"/>
      <c r="D214" s="89"/>
      <c r="E214" s="91"/>
      <c r="F214" s="91"/>
      <c r="G214" s="91"/>
      <c r="H214" s="91"/>
      <c r="I214" s="91"/>
      <c r="J214" s="90"/>
      <c r="K214" s="90"/>
      <c r="L214" s="90"/>
    </row>
    <row r="215" spans="2:12">
      <c r="B215" s="89"/>
      <c r="C215" s="90"/>
      <c r="D215" s="89"/>
      <c r="E215" s="91"/>
      <c r="F215" s="91"/>
      <c r="G215" s="91"/>
      <c r="H215" s="91"/>
      <c r="I215" s="91"/>
      <c r="J215" s="90"/>
      <c r="K215" s="90"/>
      <c r="L215" s="90"/>
    </row>
    <row r="216" spans="2:12">
      <c r="B216" s="89"/>
      <c r="C216" s="90"/>
      <c r="D216" s="89"/>
      <c r="E216" s="91"/>
      <c r="F216" s="91"/>
      <c r="G216" s="91"/>
      <c r="H216" s="91"/>
      <c r="I216" s="91"/>
      <c r="J216" s="90"/>
      <c r="K216" s="90"/>
      <c r="L216" s="90"/>
    </row>
    <row r="217" spans="2:12">
      <c r="B217" s="89"/>
      <c r="C217" s="90"/>
      <c r="D217" s="89"/>
      <c r="E217" s="91"/>
      <c r="F217" s="91"/>
      <c r="G217" s="91"/>
      <c r="H217" s="91"/>
      <c r="I217" s="91"/>
      <c r="J217" s="90"/>
      <c r="K217" s="90"/>
      <c r="L217" s="90"/>
    </row>
    <row r="218" spans="2:12">
      <c r="B218" s="89"/>
      <c r="C218" s="90"/>
      <c r="D218" s="89"/>
      <c r="E218" s="91"/>
      <c r="F218" s="91"/>
      <c r="G218" s="91"/>
      <c r="H218" s="91"/>
      <c r="I218" s="91"/>
      <c r="J218" s="90"/>
      <c r="K218" s="90"/>
      <c r="L218" s="90"/>
    </row>
    <row r="219" spans="2:12">
      <c r="B219" s="89"/>
      <c r="C219" s="90"/>
      <c r="D219" s="89"/>
      <c r="E219" s="91"/>
      <c r="F219" s="91"/>
      <c r="G219" s="91"/>
      <c r="H219" s="91"/>
      <c r="I219" s="91"/>
      <c r="J219" s="90"/>
      <c r="K219" s="90"/>
      <c r="L219" s="90"/>
    </row>
    <row r="220" spans="2:12">
      <c r="B220" s="89"/>
      <c r="C220" s="90"/>
      <c r="D220" s="89"/>
      <c r="E220" s="91"/>
      <c r="F220" s="91"/>
      <c r="G220" s="91"/>
      <c r="H220" s="91"/>
      <c r="I220" s="91"/>
      <c r="J220" s="90"/>
      <c r="K220" s="90"/>
      <c r="L220" s="90"/>
    </row>
    <row r="221" spans="2:12">
      <c r="B221" s="89"/>
      <c r="C221" s="90"/>
      <c r="D221" s="89"/>
      <c r="E221" s="91"/>
      <c r="F221" s="91"/>
      <c r="G221" s="91"/>
      <c r="H221" s="91"/>
      <c r="I221" s="91"/>
      <c r="J221" s="90"/>
      <c r="K221" s="90"/>
      <c r="L221" s="90"/>
    </row>
    <row r="222" spans="2:12">
      <c r="B222" s="89"/>
      <c r="C222" s="90"/>
      <c r="D222" s="89"/>
      <c r="E222" s="91"/>
      <c r="F222" s="91"/>
      <c r="G222" s="91"/>
      <c r="H222" s="91"/>
      <c r="I222" s="91"/>
      <c r="J222" s="90"/>
      <c r="K222" s="90"/>
      <c r="L222" s="90"/>
    </row>
    <row r="223" spans="2:12">
      <c r="B223" s="89"/>
      <c r="C223" s="90"/>
      <c r="D223" s="89"/>
      <c r="E223" s="91"/>
      <c r="F223" s="91"/>
      <c r="G223" s="91"/>
      <c r="H223" s="91"/>
      <c r="I223" s="91"/>
      <c r="J223" s="90"/>
      <c r="K223" s="90"/>
      <c r="L223" s="90"/>
    </row>
    <row r="224" spans="2:12">
      <c r="B224" s="89"/>
      <c r="C224" s="90"/>
      <c r="D224" s="89"/>
      <c r="E224" s="91"/>
      <c r="F224" s="91"/>
      <c r="G224" s="91"/>
      <c r="H224" s="91"/>
      <c r="I224" s="91"/>
      <c r="J224" s="90"/>
      <c r="K224" s="90"/>
      <c r="L224" s="90"/>
    </row>
    <row r="225" spans="2:12">
      <c r="B225" s="89"/>
      <c r="C225" s="90"/>
      <c r="D225" s="89"/>
      <c r="E225" s="91"/>
      <c r="F225" s="91"/>
      <c r="G225" s="91"/>
      <c r="H225" s="91"/>
      <c r="I225" s="91"/>
      <c r="J225" s="90"/>
      <c r="K225" s="90"/>
      <c r="L225" s="90"/>
    </row>
    <row r="226" spans="2:12">
      <c r="B226" s="89"/>
      <c r="C226" s="90"/>
      <c r="D226" s="89"/>
      <c r="E226" s="91"/>
      <c r="F226" s="91"/>
      <c r="G226" s="91"/>
      <c r="H226" s="91"/>
      <c r="I226" s="91"/>
      <c r="J226" s="90"/>
      <c r="K226" s="90"/>
      <c r="L226" s="90"/>
    </row>
    <row r="227" spans="2:12">
      <c r="B227" s="89"/>
      <c r="C227" s="90"/>
      <c r="D227" s="89"/>
      <c r="E227" s="91"/>
      <c r="F227" s="91"/>
      <c r="G227" s="91"/>
      <c r="H227" s="91"/>
      <c r="I227" s="91"/>
      <c r="J227" s="90"/>
      <c r="K227" s="90"/>
      <c r="L227" s="90"/>
    </row>
    <row r="228" spans="2:12">
      <c r="B228" s="89"/>
      <c r="C228" s="90"/>
      <c r="D228" s="89"/>
      <c r="E228" s="91"/>
      <c r="F228" s="91"/>
      <c r="G228" s="91"/>
      <c r="H228" s="91"/>
      <c r="I228" s="91"/>
      <c r="J228" s="90"/>
      <c r="K228" s="90"/>
      <c r="L228" s="90"/>
    </row>
    <row r="229" spans="2:12">
      <c r="B229" s="89"/>
      <c r="C229" s="90"/>
      <c r="D229" s="89"/>
      <c r="E229" s="91"/>
      <c r="F229" s="91"/>
      <c r="G229" s="91"/>
      <c r="H229" s="91"/>
      <c r="I229" s="91"/>
      <c r="J229" s="90"/>
      <c r="K229" s="90"/>
      <c r="L229" s="90"/>
    </row>
    <row r="230" spans="2:12">
      <c r="B230" s="89"/>
      <c r="C230" s="90"/>
      <c r="D230" s="89"/>
      <c r="E230" s="91"/>
      <c r="F230" s="91"/>
      <c r="G230" s="91"/>
      <c r="H230" s="91"/>
      <c r="I230" s="91"/>
      <c r="J230" s="90"/>
      <c r="K230" s="90"/>
      <c r="L230" s="90"/>
    </row>
    <row r="231" spans="2:12">
      <c r="B231" s="89"/>
      <c r="C231" s="90"/>
      <c r="D231" s="89"/>
      <c r="E231" s="91"/>
      <c r="F231" s="91"/>
      <c r="G231" s="91"/>
      <c r="H231" s="91"/>
      <c r="I231" s="91"/>
      <c r="J231" s="90"/>
      <c r="K231" s="90"/>
      <c r="L231" s="90"/>
    </row>
    <row r="232" spans="2:12">
      <c r="B232" s="89"/>
      <c r="C232" s="90"/>
      <c r="D232" s="89"/>
      <c r="E232" s="91"/>
      <c r="F232" s="91"/>
      <c r="G232" s="91"/>
      <c r="H232" s="91"/>
      <c r="I232" s="91"/>
      <c r="J232" s="90"/>
      <c r="K232" s="90"/>
      <c r="L232" s="90"/>
    </row>
    <row r="233" spans="2:12">
      <c r="B233" s="89"/>
      <c r="C233" s="90"/>
      <c r="D233" s="89"/>
      <c r="E233" s="91"/>
      <c r="F233" s="91"/>
      <c r="G233" s="91"/>
      <c r="H233" s="91"/>
      <c r="I233" s="91"/>
      <c r="J233" s="90"/>
      <c r="K233" s="90"/>
      <c r="L233" s="90"/>
    </row>
    <row r="234" spans="2:12">
      <c r="B234" s="89"/>
      <c r="C234" s="90"/>
      <c r="D234" s="89"/>
      <c r="E234" s="91"/>
      <c r="F234" s="91"/>
      <c r="G234" s="91"/>
      <c r="H234" s="91"/>
      <c r="I234" s="91"/>
      <c r="J234" s="90"/>
      <c r="K234" s="90"/>
      <c r="L234" s="90"/>
    </row>
    <row r="235" spans="2:12">
      <c r="B235" s="89"/>
      <c r="C235" s="90"/>
      <c r="D235" s="89"/>
      <c r="E235" s="91"/>
      <c r="F235" s="91"/>
      <c r="G235" s="91"/>
      <c r="H235" s="91"/>
      <c r="I235" s="91"/>
      <c r="J235" s="90"/>
      <c r="K235" s="90"/>
      <c r="L235" s="90"/>
    </row>
    <row r="236" spans="2:12">
      <c r="B236" s="89"/>
      <c r="C236" s="90"/>
      <c r="D236" s="89"/>
      <c r="E236" s="91"/>
      <c r="F236" s="91"/>
      <c r="G236" s="91"/>
      <c r="H236" s="91"/>
      <c r="I236" s="91"/>
      <c r="J236" s="90"/>
      <c r="K236" s="90"/>
      <c r="L236" s="90"/>
    </row>
    <row r="237" spans="2:12">
      <c r="B237" s="89"/>
      <c r="C237" s="90"/>
      <c r="D237" s="89"/>
      <c r="E237" s="91"/>
      <c r="F237" s="91"/>
      <c r="G237" s="91"/>
      <c r="H237" s="91"/>
      <c r="I237" s="91"/>
      <c r="J237" s="90"/>
      <c r="K237" s="90"/>
      <c r="L237" s="90"/>
    </row>
    <row r="238" spans="2:12">
      <c r="B238" s="89"/>
      <c r="C238" s="90"/>
      <c r="D238" s="89"/>
      <c r="E238" s="91"/>
      <c r="F238" s="91"/>
      <c r="G238" s="91"/>
      <c r="H238" s="91"/>
      <c r="I238" s="91"/>
      <c r="J238" s="90"/>
      <c r="K238" s="90"/>
      <c r="L238" s="90"/>
    </row>
    <row r="239" spans="2:12">
      <c r="B239" s="89"/>
      <c r="C239" s="90"/>
      <c r="D239" s="89"/>
      <c r="E239" s="91"/>
      <c r="F239" s="91"/>
      <c r="G239" s="91"/>
      <c r="H239" s="91"/>
      <c r="I239" s="91"/>
      <c r="J239" s="90"/>
      <c r="K239" s="90"/>
      <c r="L239" s="90"/>
    </row>
    <row r="240" spans="2:12">
      <c r="B240" s="89"/>
      <c r="C240" s="90"/>
      <c r="D240" s="89"/>
      <c r="E240" s="91"/>
      <c r="F240" s="91"/>
      <c r="G240" s="91"/>
      <c r="H240" s="91"/>
      <c r="I240" s="91"/>
      <c r="J240" s="90"/>
      <c r="K240" s="90"/>
      <c r="L240" s="90"/>
    </row>
    <row r="241" spans="2:12">
      <c r="B241" s="89"/>
      <c r="C241" s="90"/>
      <c r="D241" s="89"/>
      <c r="E241" s="91"/>
      <c r="F241" s="91"/>
      <c r="G241" s="91"/>
      <c r="H241" s="91"/>
      <c r="I241" s="91"/>
      <c r="J241" s="90"/>
      <c r="K241" s="90"/>
      <c r="L241" s="90"/>
    </row>
    <row r="242" spans="2:12">
      <c r="B242" s="89"/>
      <c r="C242" s="90"/>
      <c r="D242" s="89"/>
      <c r="E242" s="91"/>
      <c r="F242" s="91"/>
      <c r="G242" s="91"/>
      <c r="H242" s="91"/>
      <c r="I242" s="91"/>
      <c r="J242" s="90"/>
      <c r="K242" s="90"/>
      <c r="L242" s="90"/>
    </row>
    <row r="243" spans="2:12">
      <c r="B243" s="89"/>
      <c r="C243" s="90"/>
      <c r="D243" s="89"/>
      <c r="E243" s="91"/>
      <c r="F243" s="91"/>
      <c r="G243" s="91"/>
      <c r="H243" s="91"/>
      <c r="I243" s="91"/>
      <c r="J243" s="90"/>
      <c r="K243" s="90"/>
      <c r="L243" s="90"/>
    </row>
    <row r="244" spans="2:12">
      <c r="B244" s="89"/>
      <c r="C244" s="90"/>
      <c r="D244" s="89"/>
      <c r="E244" s="91"/>
      <c r="F244" s="91"/>
      <c r="G244" s="91"/>
      <c r="H244" s="91"/>
      <c r="I244" s="91"/>
      <c r="J244" s="90"/>
      <c r="K244" s="90"/>
      <c r="L244" s="90"/>
    </row>
    <row r="245" spans="2:12">
      <c r="B245" s="89"/>
      <c r="C245" s="90"/>
      <c r="D245" s="89"/>
      <c r="E245" s="91"/>
      <c r="F245" s="91"/>
      <c r="G245" s="91"/>
      <c r="H245" s="91"/>
      <c r="I245" s="91"/>
      <c r="J245" s="90"/>
      <c r="K245" s="90"/>
      <c r="L245" s="90"/>
    </row>
    <row r="246" spans="2:12">
      <c r="B246" s="89"/>
      <c r="C246" s="90"/>
      <c r="D246" s="89"/>
      <c r="E246" s="91"/>
      <c r="F246" s="91"/>
      <c r="G246" s="91"/>
      <c r="H246" s="91"/>
      <c r="I246" s="91"/>
      <c r="J246" s="90"/>
      <c r="K246" s="90"/>
      <c r="L246" s="90"/>
    </row>
    <row r="247" spans="2:12">
      <c r="B247" s="89"/>
      <c r="C247" s="90"/>
      <c r="D247" s="89"/>
      <c r="E247" s="91"/>
      <c r="F247" s="91"/>
      <c r="G247" s="91"/>
      <c r="H247" s="91"/>
      <c r="I247" s="91"/>
      <c r="J247" s="90"/>
      <c r="K247" s="90"/>
      <c r="L247" s="90"/>
    </row>
    <row r="248" spans="2:12">
      <c r="B248" s="89"/>
      <c r="C248" s="90"/>
      <c r="D248" s="89"/>
      <c r="E248" s="91"/>
      <c r="F248" s="91"/>
      <c r="G248" s="91"/>
      <c r="H248" s="91"/>
      <c r="I248" s="91"/>
      <c r="J248" s="90"/>
      <c r="K248" s="90"/>
      <c r="L248" s="90"/>
    </row>
    <row r="249" spans="2:12">
      <c r="B249" s="89"/>
      <c r="C249" s="90"/>
      <c r="D249" s="89"/>
      <c r="E249" s="91"/>
      <c r="F249" s="91"/>
      <c r="G249" s="91"/>
      <c r="H249" s="91"/>
      <c r="I249" s="91"/>
      <c r="J249" s="90"/>
      <c r="K249" s="90"/>
      <c r="L249" s="90"/>
    </row>
  </sheetData>
  <phoneticPr fontId="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keCSV">
                <anchor moveWithCells="1" sizeWithCells="1">
                  <from>
                    <xdr:col>1</xdr:col>
                    <xdr:colOff>533400</xdr:colOff>
                    <xdr:row>8</xdr:row>
                    <xdr:rowOff>0</xdr:rowOff>
                  </from>
                  <to>
                    <xdr:col>5</xdr:col>
                    <xdr:colOff>295275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P596"/>
  <sheetViews>
    <sheetView zoomScale="85" zoomScaleNormal="85" workbookViewId="0"/>
  </sheetViews>
  <sheetFormatPr defaultRowHeight="12.75"/>
  <cols>
    <col min="1" max="1" width="3.5" style="179" customWidth="1"/>
    <col min="2" max="2" width="7.75" style="172" customWidth="1"/>
    <col min="3" max="3" width="9.125" style="172" customWidth="1"/>
    <col min="4" max="5" width="10" style="172" bestFit="1" customWidth="1"/>
    <col min="6" max="6" width="11" style="172" bestFit="1" customWidth="1"/>
    <col min="7" max="7" width="9.125" style="172" bestFit="1" customWidth="1"/>
    <col min="8" max="8" width="10" style="172" bestFit="1" customWidth="1"/>
    <col min="9" max="9" width="9.375" style="172" customWidth="1"/>
    <col min="10" max="10" width="9.25" style="172" customWidth="1"/>
    <col min="11" max="11" width="10" style="172" bestFit="1" customWidth="1"/>
    <col min="12" max="12" width="9" style="172"/>
    <col min="13" max="13" width="9" style="173"/>
    <col min="14" max="14" width="9" style="317"/>
    <col min="15" max="15" width="9" style="173"/>
    <col min="16" max="16" width="9" style="172"/>
    <col min="17" max="256" width="9" style="179"/>
    <col min="257" max="257" width="3.5" style="179" customWidth="1"/>
    <col min="258" max="258" width="12.875" style="179" customWidth="1"/>
    <col min="259" max="261" width="10" style="179" bestFit="1" customWidth="1"/>
    <col min="262" max="262" width="11" style="179" bestFit="1" customWidth="1"/>
    <col min="263" max="263" width="9.125" style="179" bestFit="1" customWidth="1"/>
    <col min="264" max="264" width="10" style="179" bestFit="1" customWidth="1"/>
    <col min="265" max="265" width="9.375" style="179" customWidth="1"/>
    <col min="266" max="266" width="9.25" style="179" customWidth="1"/>
    <col min="267" max="267" width="10" style="179" bestFit="1" customWidth="1"/>
    <col min="268" max="512" width="9" style="179"/>
    <col min="513" max="513" width="3.5" style="179" customWidth="1"/>
    <col min="514" max="514" width="12.875" style="179" customWidth="1"/>
    <col min="515" max="517" width="10" style="179" bestFit="1" customWidth="1"/>
    <col min="518" max="518" width="11" style="179" bestFit="1" customWidth="1"/>
    <col min="519" max="519" width="9.125" style="179" bestFit="1" customWidth="1"/>
    <col min="520" max="520" width="10" style="179" bestFit="1" customWidth="1"/>
    <col min="521" max="521" width="9.375" style="179" customWidth="1"/>
    <col min="522" max="522" width="9.25" style="179" customWidth="1"/>
    <col min="523" max="523" width="10" style="179" bestFit="1" customWidth="1"/>
    <col min="524" max="768" width="9" style="179"/>
    <col min="769" max="769" width="3.5" style="179" customWidth="1"/>
    <col min="770" max="770" width="12.875" style="179" customWidth="1"/>
    <col min="771" max="773" width="10" style="179" bestFit="1" customWidth="1"/>
    <col min="774" max="774" width="11" style="179" bestFit="1" customWidth="1"/>
    <col min="775" max="775" width="9.125" style="179" bestFit="1" customWidth="1"/>
    <col min="776" max="776" width="10" style="179" bestFit="1" customWidth="1"/>
    <col min="777" max="777" width="9.375" style="179" customWidth="1"/>
    <col min="778" max="778" width="9.25" style="179" customWidth="1"/>
    <col min="779" max="779" width="10" style="179" bestFit="1" customWidth="1"/>
    <col min="780" max="1024" width="9" style="179"/>
    <col min="1025" max="1025" width="3.5" style="179" customWidth="1"/>
    <col min="1026" max="1026" width="12.875" style="179" customWidth="1"/>
    <col min="1027" max="1029" width="10" style="179" bestFit="1" customWidth="1"/>
    <col min="1030" max="1030" width="11" style="179" bestFit="1" customWidth="1"/>
    <col min="1031" max="1031" width="9.125" style="179" bestFit="1" customWidth="1"/>
    <col min="1032" max="1032" width="10" style="179" bestFit="1" customWidth="1"/>
    <col min="1033" max="1033" width="9.375" style="179" customWidth="1"/>
    <col min="1034" max="1034" width="9.25" style="179" customWidth="1"/>
    <col min="1035" max="1035" width="10" style="179" bestFit="1" customWidth="1"/>
    <col min="1036" max="1280" width="9" style="179"/>
    <col min="1281" max="1281" width="3.5" style="179" customWidth="1"/>
    <col min="1282" max="1282" width="12.875" style="179" customWidth="1"/>
    <col min="1283" max="1285" width="10" style="179" bestFit="1" customWidth="1"/>
    <col min="1286" max="1286" width="11" style="179" bestFit="1" customWidth="1"/>
    <col min="1287" max="1287" width="9.125" style="179" bestFit="1" customWidth="1"/>
    <col min="1288" max="1288" width="10" style="179" bestFit="1" customWidth="1"/>
    <col min="1289" max="1289" width="9.375" style="179" customWidth="1"/>
    <col min="1290" max="1290" width="9.25" style="179" customWidth="1"/>
    <col min="1291" max="1291" width="10" style="179" bestFit="1" customWidth="1"/>
    <col min="1292" max="1536" width="9" style="179"/>
    <col min="1537" max="1537" width="3.5" style="179" customWidth="1"/>
    <col min="1538" max="1538" width="12.875" style="179" customWidth="1"/>
    <col min="1539" max="1541" width="10" style="179" bestFit="1" customWidth="1"/>
    <col min="1542" max="1542" width="11" style="179" bestFit="1" customWidth="1"/>
    <col min="1543" max="1543" width="9.125" style="179" bestFit="1" customWidth="1"/>
    <col min="1544" max="1544" width="10" style="179" bestFit="1" customWidth="1"/>
    <col min="1545" max="1545" width="9.375" style="179" customWidth="1"/>
    <col min="1546" max="1546" width="9.25" style="179" customWidth="1"/>
    <col min="1547" max="1547" width="10" style="179" bestFit="1" customWidth="1"/>
    <col min="1548" max="1792" width="9" style="179"/>
    <col min="1793" max="1793" width="3.5" style="179" customWidth="1"/>
    <col min="1794" max="1794" width="12.875" style="179" customWidth="1"/>
    <col min="1795" max="1797" width="10" style="179" bestFit="1" customWidth="1"/>
    <col min="1798" max="1798" width="11" style="179" bestFit="1" customWidth="1"/>
    <col min="1799" max="1799" width="9.125" style="179" bestFit="1" customWidth="1"/>
    <col min="1800" max="1800" width="10" style="179" bestFit="1" customWidth="1"/>
    <col min="1801" max="1801" width="9.375" style="179" customWidth="1"/>
    <col min="1802" max="1802" width="9.25" style="179" customWidth="1"/>
    <col min="1803" max="1803" width="10" style="179" bestFit="1" customWidth="1"/>
    <col min="1804" max="2048" width="9" style="179"/>
    <col min="2049" max="2049" width="3.5" style="179" customWidth="1"/>
    <col min="2050" max="2050" width="12.875" style="179" customWidth="1"/>
    <col min="2051" max="2053" width="10" style="179" bestFit="1" customWidth="1"/>
    <col min="2054" max="2054" width="11" style="179" bestFit="1" customWidth="1"/>
    <col min="2055" max="2055" width="9.125" style="179" bestFit="1" customWidth="1"/>
    <col min="2056" max="2056" width="10" style="179" bestFit="1" customWidth="1"/>
    <col min="2057" max="2057" width="9.375" style="179" customWidth="1"/>
    <col min="2058" max="2058" width="9.25" style="179" customWidth="1"/>
    <col min="2059" max="2059" width="10" style="179" bestFit="1" customWidth="1"/>
    <col min="2060" max="2304" width="9" style="179"/>
    <col min="2305" max="2305" width="3.5" style="179" customWidth="1"/>
    <col min="2306" max="2306" width="12.875" style="179" customWidth="1"/>
    <col min="2307" max="2309" width="10" style="179" bestFit="1" customWidth="1"/>
    <col min="2310" max="2310" width="11" style="179" bestFit="1" customWidth="1"/>
    <col min="2311" max="2311" width="9.125" style="179" bestFit="1" customWidth="1"/>
    <col min="2312" max="2312" width="10" style="179" bestFit="1" customWidth="1"/>
    <col min="2313" max="2313" width="9.375" style="179" customWidth="1"/>
    <col min="2314" max="2314" width="9.25" style="179" customWidth="1"/>
    <col min="2315" max="2315" width="10" style="179" bestFit="1" customWidth="1"/>
    <col min="2316" max="2560" width="9" style="179"/>
    <col min="2561" max="2561" width="3.5" style="179" customWidth="1"/>
    <col min="2562" max="2562" width="12.875" style="179" customWidth="1"/>
    <col min="2563" max="2565" width="10" style="179" bestFit="1" customWidth="1"/>
    <col min="2566" max="2566" width="11" style="179" bestFit="1" customWidth="1"/>
    <col min="2567" max="2567" width="9.125" style="179" bestFit="1" customWidth="1"/>
    <col min="2568" max="2568" width="10" style="179" bestFit="1" customWidth="1"/>
    <col min="2569" max="2569" width="9.375" style="179" customWidth="1"/>
    <col min="2570" max="2570" width="9.25" style="179" customWidth="1"/>
    <col min="2571" max="2571" width="10" style="179" bestFit="1" customWidth="1"/>
    <col min="2572" max="2816" width="9" style="179"/>
    <col min="2817" max="2817" width="3.5" style="179" customWidth="1"/>
    <col min="2818" max="2818" width="12.875" style="179" customWidth="1"/>
    <col min="2819" max="2821" width="10" style="179" bestFit="1" customWidth="1"/>
    <col min="2822" max="2822" width="11" style="179" bestFit="1" customWidth="1"/>
    <col min="2823" max="2823" width="9.125" style="179" bestFit="1" customWidth="1"/>
    <col min="2824" max="2824" width="10" style="179" bestFit="1" customWidth="1"/>
    <col min="2825" max="2825" width="9.375" style="179" customWidth="1"/>
    <col min="2826" max="2826" width="9.25" style="179" customWidth="1"/>
    <col min="2827" max="2827" width="10" style="179" bestFit="1" customWidth="1"/>
    <col min="2828" max="3072" width="9" style="179"/>
    <col min="3073" max="3073" width="3.5" style="179" customWidth="1"/>
    <col min="3074" max="3074" width="12.875" style="179" customWidth="1"/>
    <col min="3075" max="3077" width="10" style="179" bestFit="1" customWidth="1"/>
    <col min="3078" max="3078" width="11" style="179" bestFit="1" customWidth="1"/>
    <col min="3079" max="3079" width="9.125" style="179" bestFit="1" customWidth="1"/>
    <col min="3080" max="3080" width="10" style="179" bestFit="1" customWidth="1"/>
    <col min="3081" max="3081" width="9.375" style="179" customWidth="1"/>
    <col min="3082" max="3082" width="9.25" style="179" customWidth="1"/>
    <col min="3083" max="3083" width="10" style="179" bestFit="1" customWidth="1"/>
    <col min="3084" max="3328" width="9" style="179"/>
    <col min="3329" max="3329" width="3.5" style="179" customWidth="1"/>
    <col min="3330" max="3330" width="12.875" style="179" customWidth="1"/>
    <col min="3331" max="3333" width="10" style="179" bestFit="1" customWidth="1"/>
    <col min="3334" max="3334" width="11" style="179" bestFit="1" customWidth="1"/>
    <col min="3335" max="3335" width="9.125" style="179" bestFit="1" customWidth="1"/>
    <col min="3336" max="3336" width="10" style="179" bestFit="1" customWidth="1"/>
    <col min="3337" max="3337" width="9.375" style="179" customWidth="1"/>
    <col min="3338" max="3338" width="9.25" style="179" customWidth="1"/>
    <col min="3339" max="3339" width="10" style="179" bestFit="1" customWidth="1"/>
    <col min="3340" max="3584" width="9" style="179"/>
    <col min="3585" max="3585" width="3.5" style="179" customWidth="1"/>
    <col min="3586" max="3586" width="12.875" style="179" customWidth="1"/>
    <col min="3587" max="3589" width="10" style="179" bestFit="1" customWidth="1"/>
    <col min="3590" max="3590" width="11" style="179" bestFit="1" customWidth="1"/>
    <col min="3591" max="3591" width="9.125" style="179" bestFit="1" customWidth="1"/>
    <col min="3592" max="3592" width="10" style="179" bestFit="1" customWidth="1"/>
    <col min="3593" max="3593" width="9.375" style="179" customWidth="1"/>
    <col min="3594" max="3594" width="9.25" style="179" customWidth="1"/>
    <col min="3595" max="3595" width="10" style="179" bestFit="1" customWidth="1"/>
    <col min="3596" max="3840" width="9" style="179"/>
    <col min="3841" max="3841" width="3.5" style="179" customWidth="1"/>
    <col min="3842" max="3842" width="12.875" style="179" customWidth="1"/>
    <col min="3843" max="3845" width="10" style="179" bestFit="1" customWidth="1"/>
    <col min="3846" max="3846" width="11" style="179" bestFit="1" customWidth="1"/>
    <col min="3847" max="3847" width="9.125" style="179" bestFit="1" customWidth="1"/>
    <col min="3848" max="3848" width="10" style="179" bestFit="1" customWidth="1"/>
    <col min="3849" max="3849" width="9.375" style="179" customWidth="1"/>
    <col min="3850" max="3850" width="9.25" style="179" customWidth="1"/>
    <col min="3851" max="3851" width="10" style="179" bestFit="1" customWidth="1"/>
    <col min="3852" max="4096" width="9" style="179"/>
    <col min="4097" max="4097" width="3.5" style="179" customWidth="1"/>
    <col min="4098" max="4098" width="12.875" style="179" customWidth="1"/>
    <col min="4099" max="4101" width="10" style="179" bestFit="1" customWidth="1"/>
    <col min="4102" max="4102" width="11" style="179" bestFit="1" customWidth="1"/>
    <col min="4103" max="4103" width="9.125" style="179" bestFit="1" customWidth="1"/>
    <col min="4104" max="4104" width="10" style="179" bestFit="1" customWidth="1"/>
    <col min="4105" max="4105" width="9.375" style="179" customWidth="1"/>
    <col min="4106" max="4106" width="9.25" style="179" customWidth="1"/>
    <col min="4107" max="4107" width="10" style="179" bestFit="1" customWidth="1"/>
    <col min="4108" max="4352" width="9" style="179"/>
    <col min="4353" max="4353" width="3.5" style="179" customWidth="1"/>
    <col min="4354" max="4354" width="12.875" style="179" customWidth="1"/>
    <col min="4355" max="4357" width="10" style="179" bestFit="1" customWidth="1"/>
    <col min="4358" max="4358" width="11" style="179" bestFit="1" customWidth="1"/>
    <col min="4359" max="4359" width="9.125" style="179" bestFit="1" customWidth="1"/>
    <col min="4360" max="4360" width="10" style="179" bestFit="1" customWidth="1"/>
    <col min="4361" max="4361" width="9.375" style="179" customWidth="1"/>
    <col min="4362" max="4362" width="9.25" style="179" customWidth="1"/>
    <col min="4363" max="4363" width="10" style="179" bestFit="1" customWidth="1"/>
    <col min="4364" max="4608" width="9" style="179"/>
    <col min="4609" max="4609" width="3.5" style="179" customWidth="1"/>
    <col min="4610" max="4610" width="12.875" style="179" customWidth="1"/>
    <col min="4611" max="4613" width="10" style="179" bestFit="1" customWidth="1"/>
    <col min="4614" max="4614" width="11" style="179" bestFit="1" customWidth="1"/>
    <col min="4615" max="4615" width="9.125" style="179" bestFit="1" customWidth="1"/>
    <col min="4616" max="4616" width="10" style="179" bestFit="1" customWidth="1"/>
    <col min="4617" max="4617" width="9.375" style="179" customWidth="1"/>
    <col min="4618" max="4618" width="9.25" style="179" customWidth="1"/>
    <col min="4619" max="4619" width="10" style="179" bestFit="1" customWidth="1"/>
    <col min="4620" max="4864" width="9" style="179"/>
    <col min="4865" max="4865" width="3.5" style="179" customWidth="1"/>
    <col min="4866" max="4866" width="12.875" style="179" customWidth="1"/>
    <col min="4867" max="4869" width="10" style="179" bestFit="1" customWidth="1"/>
    <col min="4870" max="4870" width="11" style="179" bestFit="1" customWidth="1"/>
    <col min="4871" max="4871" width="9.125" style="179" bestFit="1" customWidth="1"/>
    <col min="4872" max="4872" width="10" style="179" bestFit="1" customWidth="1"/>
    <col min="4873" max="4873" width="9.375" style="179" customWidth="1"/>
    <col min="4874" max="4874" width="9.25" style="179" customWidth="1"/>
    <col min="4875" max="4875" width="10" style="179" bestFit="1" customWidth="1"/>
    <col min="4876" max="5120" width="9" style="179"/>
    <col min="5121" max="5121" width="3.5" style="179" customWidth="1"/>
    <col min="5122" max="5122" width="12.875" style="179" customWidth="1"/>
    <col min="5123" max="5125" width="10" style="179" bestFit="1" customWidth="1"/>
    <col min="5126" max="5126" width="11" style="179" bestFit="1" customWidth="1"/>
    <col min="5127" max="5127" width="9.125" style="179" bestFit="1" customWidth="1"/>
    <col min="5128" max="5128" width="10" style="179" bestFit="1" customWidth="1"/>
    <col min="5129" max="5129" width="9.375" style="179" customWidth="1"/>
    <col min="5130" max="5130" width="9.25" style="179" customWidth="1"/>
    <col min="5131" max="5131" width="10" style="179" bestFit="1" customWidth="1"/>
    <col min="5132" max="5376" width="9" style="179"/>
    <col min="5377" max="5377" width="3.5" style="179" customWidth="1"/>
    <col min="5378" max="5378" width="12.875" style="179" customWidth="1"/>
    <col min="5379" max="5381" width="10" style="179" bestFit="1" customWidth="1"/>
    <col min="5382" max="5382" width="11" style="179" bestFit="1" customWidth="1"/>
    <col min="5383" max="5383" width="9.125" style="179" bestFit="1" customWidth="1"/>
    <col min="5384" max="5384" width="10" style="179" bestFit="1" customWidth="1"/>
    <col min="5385" max="5385" width="9.375" style="179" customWidth="1"/>
    <col min="5386" max="5386" width="9.25" style="179" customWidth="1"/>
    <col min="5387" max="5387" width="10" style="179" bestFit="1" customWidth="1"/>
    <col min="5388" max="5632" width="9" style="179"/>
    <col min="5633" max="5633" width="3.5" style="179" customWidth="1"/>
    <col min="5634" max="5634" width="12.875" style="179" customWidth="1"/>
    <col min="5635" max="5637" width="10" style="179" bestFit="1" customWidth="1"/>
    <col min="5638" max="5638" width="11" style="179" bestFit="1" customWidth="1"/>
    <col min="5639" max="5639" width="9.125" style="179" bestFit="1" customWidth="1"/>
    <col min="5640" max="5640" width="10" style="179" bestFit="1" customWidth="1"/>
    <col min="5641" max="5641" width="9.375" style="179" customWidth="1"/>
    <col min="5642" max="5642" width="9.25" style="179" customWidth="1"/>
    <col min="5643" max="5643" width="10" style="179" bestFit="1" customWidth="1"/>
    <col min="5644" max="5888" width="9" style="179"/>
    <col min="5889" max="5889" width="3.5" style="179" customWidth="1"/>
    <col min="5890" max="5890" width="12.875" style="179" customWidth="1"/>
    <col min="5891" max="5893" width="10" style="179" bestFit="1" customWidth="1"/>
    <col min="5894" max="5894" width="11" style="179" bestFit="1" customWidth="1"/>
    <col min="5895" max="5895" width="9.125" style="179" bestFit="1" customWidth="1"/>
    <col min="5896" max="5896" width="10" style="179" bestFit="1" customWidth="1"/>
    <col min="5897" max="5897" width="9.375" style="179" customWidth="1"/>
    <col min="5898" max="5898" width="9.25" style="179" customWidth="1"/>
    <col min="5899" max="5899" width="10" style="179" bestFit="1" customWidth="1"/>
    <col min="5900" max="6144" width="9" style="179"/>
    <col min="6145" max="6145" width="3.5" style="179" customWidth="1"/>
    <col min="6146" max="6146" width="12.875" style="179" customWidth="1"/>
    <col min="6147" max="6149" width="10" style="179" bestFit="1" customWidth="1"/>
    <col min="6150" max="6150" width="11" style="179" bestFit="1" customWidth="1"/>
    <col min="6151" max="6151" width="9.125" style="179" bestFit="1" customWidth="1"/>
    <col min="6152" max="6152" width="10" style="179" bestFit="1" customWidth="1"/>
    <col min="6153" max="6153" width="9.375" style="179" customWidth="1"/>
    <col min="6154" max="6154" width="9.25" style="179" customWidth="1"/>
    <col min="6155" max="6155" width="10" style="179" bestFit="1" customWidth="1"/>
    <col min="6156" max="6400" width="9" style="179"/>
    <col min="6401" max="6401" width="3.5" style="179" customWidth="1"/>
    <col min="6402" max="6402" width="12.875" style="179" customWidth="1"/>
    <col min="6403" max="6405" width="10" style="179" bestFit="1" customWidth="1"/>
    <col min="6406" max="6406" width="11" style="179" bestFit="1" customWidth="1"/>
    <col min="6407" max="6407" width="9.125" style="179" bestFit="1" customWidth="1"/>
    <col min="6408" max="6408" width="10" style="179" bestFit="1" customWidth="1"/>
    <col min="6409" max="6409" width="9.375" style="179" customWidth="1"/>
    <col min="6410" max="6410" width="9.25" style="179" customWidth="1"/>
    <col min="6411" max="6411" width="10" style="179" bestFit="1" customWidth="1"/>
    <col min="6412" max="6656" width="9" style="179"/>
    <col min="6657" max="6657" width="3.5" style="179" customWidth="1"/>
    <col min="6658" max="6658" width="12.875" style="179" customWidth="1"/>
    <col min="6659" max="6661" width="10" style="179" bestFit="1" customWidth="1"/>
    <col min="6662" max="6662" width="11" style="179" bestFit="1" customWidth="1"/>
    <col min="6663" max="6663" width="9.125" style="179" bestFit="1" customWidth="1"/>
    <col min="6664" max="6664" width="10" style="179" bestFit="1" customWidth="1"/>
    <col min="6665" max="6665" width="9.375" style="179" customWidth="1"/>
    <col min="6666" max="6666" width="9.25" style="179" customWidth="1"/>
    <col min="6667" max="6667" width="10" style="179" bestFit="1" customWidth="1"/>
    <col min="6668" max="6912" width="9" style="179"/>
    <col min="6913" max="6913" width="3.5" style="179" customWidth="1"/>
    <col min="6914" max="6914" width="12.875" style="179" customWidth="1"/>
    <col min="6915" max="6917" width="10" style="179" bestFit="1" customWidth="1"/>
    <col min="6918" max="6918" width="11" style="179" bestFit="1" customWidth="1"/>
    <col min="6919" max="6919" width="9.125" style="179" bestFit="1" customWidth="1"/>
    <col min="6920" max="6920" width="10" style="179" bestFit="1" customWidth="1"/>
    <col min="6921" max="6921" width="9.375" style="179" customWidth="1"/>
    <col min="6922" max="6922" width="9.25" style="179" customWidth="1"/>
    <col min="6923" max="6923" width="10" style="179" bestFit="1" customWidth="1"/>
    <col min="6924" max="7168" width="9" style="179"/>
    <col min="7169" max="7169" width="3.5" style="179" customWidth="1"/>
    <col min="7170" max="7170" width="12.875" style="179" customWidth="1"/>
    <col min="7171" max="7173" width="10" style="179" bestFit="1" customWidth="1"/>
    <col min="7174" max="7174" width="11" style="179" bestFit="1" customWidth="1"/>
    <col min="7175" max="7175" width="9.125" style="179" bestFit="1" customWidth="1"/>
    <col min="7176" max="7176" width="10" style="179" bestFit="1" customWidth="1"/>
    <col min="7177" max="7177" width="9.375" style="179" customWidth="1"/>
    <col min="7178" max="7178" width="9.25" style="179" customWidth="1"/>
    <col min="7179" max="7179" width="10" style="179" bestFit="1" customWidth="1"/>
    <col min="7180" max="7424" width="9" style="179"/>
    <col min="7425" max="7425" width="3.5" style="179" customWidth="1"/>
    <col min="7426" max="7426" width="12.875" style="179" customWidth="1"/>
    <col min="7427" max="7429" width="10" style="179" bestFit="1" customWidth="1"/>
    <col min="7430" max="7430" width="11" style="179" bestFit="1" customWidth="1"/>
    <col min="7431" max="7431" width="9.125" style="179" bestFit="1" customWidth="1"/>
    <col min="7432" max="7432" width="10" style="179" bestFit="1" customWidth="1"/>
    <col min="7433" max="7433" width="9.375" style="179" customWidth="1"/>
    <col min="7434" max="7434" width="9.25" style="179" customWidth="1"/>
    <col min="7435" max="7435" width="10" style="179" bestFit="1" customWidth="1"/>
    <col min="7436" max="7680" width="9" style="179"/>
    <col min="7681" max="7681" width="3.5" style="179" customWidth="1"/>
    <col min="7682" max="7682" width="12.875" style="179" customWidth="1"/>
    <col min="7683" max="7685" width="10" style="179" bestFit="1" customWidth="1"/>
    <col min="7686" max="7686" width="11" style="179" bestFit="1" customWidth="1"/>
    <col min="7687" max="7687" width="9.125" style="179" bestFit="1" customWidth="1"/>
    <col min="7688" max="7688" width="10" style="179" bestFit="1" customWidth="1"/>
    <col min="7689" max="7689" width="9.375" style="179" customWidth="1"/>
    <col min="7690" max="7690" width="9.25" style="179" customWidth="1"/>
    <col min="7691" max="7691" width="10" style="179" bestFit="1" customWidth="1"/>
    <col min="7692" max="7936" width="9" style="179"/>
    <col min="7937" max="7937" width="3.5" style="179" customWidth="1"/>
    <col min="7938" max="7938" width="12.875" style="179" customWidth="1"/>
    <col min="7939" max="7941" width="10" style="179" bestFit="1" customWidth="1"/>
    <col min="7942" max="7942" width="11" style="179" bestFit="1" customWidth="1"/>
    <col min="7943" max="7943" width="9.125" style="179" bestFit="1" customWidth="1"/>
    <col min="7944" max="7944" width="10" style="179" bestFit="1" customWidth="1"/>
    <col min="7945" max="7945" width="9.375" style="179" customWidth="1"/>
    <col min="7946" max="7946" width="9.25" style="179" customWidth="1"/>
    <col min="7947" max="7947" width="10" style="179" bestFit="1" customWidth="1"/>
    <col min="7948" max="8192" width="9" style="179"/>
    <col min="8193" max="8193" width="3.5" style="179" customWidth="1"/>
    <col min="8194" max="8194" width="12.875" style="179" customWidth="1"/>
    <col min="8195" max="8197" width="10" style="179" bestFit="1" customWidth="1"/>
    <col min="8198" max="8198" width="11" style="179" bestFit="1" customWidth="1"/>
    <col min="8199" max="8199" width="9.125" style="179" bestFit="1" customWidth="1"/>
    <col min="8200" max="8200" width="10" style="179" bestFit="1" customWidth="1"/>
    <col min="8201" max="8201" width="9.375" style="179" customWidth="1"/>
    <col min="8202" max="8202" width="9.25" style="179" customWidth="1"/>
    <col min="8203" max="8203" width="10" style="179" bestFit="1" customWidth="1"/>
    <col min="8204" max="8448" width="9" style="179"/>
    <col min="8449" max="8449" width="3.5" style="179" customWidth="1"/>
    <col min="8450" max="8450" width="12.875" style="179" customWidth="1"/>
    <col min="8451" max="8453" width="10" style="179" bestFit="1" customWidth="1"/>
    <col min="8454" max="8454" width="11" style="179" bestFit="1" customWidth="1"/>
    <col min="8455" max="8455" width="9.125" style="179" bestFit="1" customWidth="1"/>
    <col min="8456" max="8456" width="10" style="179" bestFit="1" customWidth="1"/>
    <col min="8457" max="8457" width="9.375" style="179" customWidth="1"/>
    <col min="8458" max="8458" width="9.25" style="179" customWidth="1"/>
    <col min="8459" max="8459" width="10" style="179" bestFit="1" customWidth="1"/>
    <col min="8460" max="8704" width="9" style="179"/>
    <col min="8705" max="8705" width="3.5" style="179" customWidth="1"/>
    <col min="8706" max="8706" width="12.875" style="179" customWidth="1"/>
    <col min="8707" max="8709" width="10" style="179" bestFit="1" customWidth="1"/>
    <col min="8710" max="8710" width="11" style="179" bestFit="1" customWidth="1"/>
    <col min="8711" max="8711" width="9.125" style="179" bestFit="1" customWidth="1"/>
    <col min="8712" max="8712" width="10" style="179" bestFit="1" customWidth="1"/>
    <col min="8713" max="8713" width="9.375" style="179" customWidth="1"/>
    <col min="8714" max="8714" width="9.25" style="179" customWidth="1"/>
    <col min="8715" max="8715" width="10" style="179" bestFit="1" customWidth="1"/>
    <col min="8716" max="8960" width="9" style="179"/>
    <col min="8961" max="8961" width="3.5" style="179" customWidth="1"/>
    <col min="8962" max="8962" width="12.875" style="179" customWidth="1"/>
    <col min="8963" max="8965" width="10" style="179" bestFit="1" customWidth="1"/>
    <col min="8966" max="8966" width="11" style="179" bestFit="1" customWidth="1"/>
    <col min="8967" max="8967" width="9.125" style="179" bestFit="1" customWidth="1"/>
    <col min="8968" max="8968" width="10" style="179" bestFit="1" customWidth="1"/>
    <col min="8969" max="8969" width="9.375" style="179" customWidth="1"/>
    <col min="8970" max="8970" width="9.25" style="179" customWidth="1"/>
    <col min="8971" max="8971" width="10" style="179" bestFit="1" customWidth="1"/>
    <col min="8972" max="9216" width="9" style="179"/>
    <col min="9217" max="9217" width="3.5" style="179" customWidth="1"/>
    <col min="9218" max="9218" width="12.875" style="179" customWidth="1"/>
    <col min="9219" max="9221" width="10" style="179" bestFit="1" customWidth="1"/>
    <col min="9222" max="9222" width="11" style="179" bestFit="1" customWidth="1"/>
    <col min="9223" max="9223" width="9.125" style="179" bestFit="1" customWidth="1"/>
    <col min="9224" max="9224" width="10" style="179" bestFit="1" customWidth="1"/>
    <col min="9225" max="9225" width="9.375" style="179" customWidth="1"/>
    <col min="9226" max="9226" width="9.25" style="179" customWidth="1"/>
    <col min="9227" max="9227" width="10" style="179" bestFit="1" customWidth="1"/>
    <col min="9228" max="9472" width="9" style="179"/>
    <col min="9473" max="9473" width="3.5" style="179" customWidth="1"/>
    <col min="9474" max="9474" width="12.875" style="179" customWidth="1"/>
    <col min="9475" max="9477" width="10" style="179" bestFit="1" customWidth="1"/>
    <col min="9478" max="9478" width="11" style="179" bestFit="1" customWidth="1"/>
    <col min="9479" max="9479" width="9.125" style="179" bestFit="1" customWidth="1"/>
    <col min="9480" max="9480" width="10" style="179" bestFit="1" customWidth="1"/>
    <col min="9481" max="9481" width="9.375" style="179" customWidth="1"/>
    <col min="9482" max="9482" width="9.25" style="179" customWidth="1"/>
    <col min="9483" max="9483" width="10" style="179" bestFit="1" customWidth="1"/>
    <col min="9484" max="9728" width="9" style="179"/>
    <col min="9729" max="9729" width="3.5" style="179" customWidth="1"/>
    <col min="9730" max="9730" width="12.875" style="179" customWidth="1"/>
    <col min="9731" max="9733" width="10" style="179" bestFit="1" customWidth="1"/>
    <col min="9734" max="9734" width="11" style="179" bestFit="1" customWidth="1"/>
    <col min="9735" max="9735" width="9.125" style="179" bestFit="1" customWidth="1"/>
    <col min="9736" max="9736" width="10" style="179" bestFit="1" customWidth="1"/>
    <col min="9737" max="9737" width="9.375" style="179" customWidth="1"/>
    <col min="9738" max="9738" width="9.25" style="179" customWidth="1"/>
    <col min="9739" max="9739" width="10" style="179" bestFit="1" customWidth="1"/>
    <col min="9740" max="9984" width="9" style="179"/>
    <col min="9985" max="9985" width="3.5" style="179" customWidth="1"/>
    <col min="9986" max="9986" width="12.875" style="179" customWidth="1"/>
    <col min="9987" max="9989" width="10" style="179" bestFit="1" customWidth="1"/>
    <col min="9990" max="9990" width="11" style="179" bestFit="1" customWidth="1"/>
    <col min="9991" max="9991" width="9.125" style="179" bestFit="1" customWidth="1"/>
    <col min="9992" max="9992" width="10" style="179" bestFit="1" customWidth="1"/>
    <col min="9993" max="9993" width="9.375" style="179" customWidth="1"/>
    <col min="9994" max="9994" width="9.25" style="179" customWidth="1"/>
    <col min="9995" max="9995" width="10" style="179" bestFit="1" customWidth="1"/>
    <col min="9996" max="10240" width="9" style="179"/>
    <col min="10241" max="10241" width="3.5" style="179" customWidth="1"/>
    <col min="10242" max="10242" width="12.875" style="179" customWidth="1"/>
    <col min="10243" max="10245" width="10" style="179" bestFit="1" customWidth="1"/>
    <col min="10246" max="10246" width="11" style="179" bestFit="1" customWidth="1"/>
    <col min="10247" max="10247" width="9.125" style="179" bestFit="1" customWidth="1"/>
    <col min="10248" max="10248" width="10" style="179" bestFit="1" customWidth="1"/>
    <col min="10249" max="10249" width="9.375" style="179" customWidth="1"/>
    <col min="10250" max="10250" width="9.25" style="179" customWidth="1"/>
    <col min="10251" max="10251" width="10" style="179" bestFit="1" customWidth="1"/>
    <col min="10252" max="10496" width="9" style="179"/>
    <col min="10497" max="10497" width="3.5" style="179" customWidth="1"/>
    <col min="10498" max="10498" width="12.875" style="179" customWidth="1"/>
    <col min="10499" max="10501" width="10" style="179" bestFit="1" customWidth="1"/>
    <col min="10502" max="10502" width="11" style="179" bestFit="1" customWidth="1"/>
    <col min="10503" max="10503" width="9.125" style="179" bestFit="1" customWidth="1"/>
    <col min="10504" max="10504" width="10" style="179" bestFit="1" customWidth="1"/>
    <col min="10505" max="10505" width="9.375" style="179" customWidth="1"/>
    <col min="10506" max="10506" width="9.25" style="179" customWidth="1"/>
    <col min="10507" max="10507" width="10" style="179" bestFit="1" customWidth="1"/>
    <col min="10508" max="10752" width="9" style="179"/>
    <col min="10753" max="10753" width="3.5" style="179" customWidth="1"/>
    <col min="10754" max="10754" width="12.875" style="179" customWidth="1"/>
    <col min="10755" max="10757" width="10" style="179" bestFit="1" customWidth="1"/>
    <col min="10758" max="10758" width="11" style="179" bestFit="1" customWidth="1"/>
    <col min="10759" max="10759" width="9.125" style="179" bestFit="1" customWidth="1"/>
    <col min="10760" max="10760" width="10" style="179" bestFit="1" customWidth="1"/>
    <col min="10761" max="10761" width="9.375" style="179" customWidth="1"/>
    <col min="10762" max="10762" width="9.25" style="179" customWidth="1"/>
    <col min="10763" max="10763" width="10" style="179" bestFit="1" customWidth="1"/>
    <col min="10764" max="11008" width="9" style="179"/>
    <col min="11009" max="11009" width="3.5" style="179" customWidth="1"/>
    <col min="11010" max="11010" width="12.875" style="179" customWidth="1"/>
    <col min="11011" max="11013" width="10" style="179" bestFit="1" customWidth="1"/>
    <col min="11014" max="11014" width="11" style="179" bestFit="1" customWidth="1"/>
    <col min="11015" max="11015" width="9.125" style="179" bestFit="1" customWidth="1"/>
    <col min="11016" max="11016" width="10" style="179" bestFit="1" customWidth="1"/>
    <col min="11017" max="11017" width="9.375" style="179" customWidth="1"/>
    <col min="11018" max="11018" width="9.25" style="179" customWidth="1"/>
    <col min="11019" max="11019" width="10" style="179" bestFit="1" customWidth="1"/>
    <col min="11020" max="11264" width="9" style="179"/>
    <col min="11265" max="11265" width="3.5" style="179" customWidth="1"/>
    <col min="11266" max="11266" width="12.875" style="179" customWidth="1"/>
    <col min="11267" max="11269" width="10" style="179" bestFit="1" customWidth="1"/>
    <col min="11270" max="11270" width="11" style="179" bestFit="1" customWidth="1"/>
    <col min="11271" max="11271" width="9.125" style="179" bestFit="1" customWidth="1"/>
    <col min="11272" max="11272" width="10" style="179" bestFit="1" customWidth="1"/>
    <col min="11273" max="11273" width="9.375" style="179" customWidth="1"/>
    <col min="11274" max="11274" width="9.25" style="179" customWidth="1"/>
    <col min="11275" max="11275" width="10" style="179" bestFit="1" customWidth="1"/>
    <col min="11276" max="11520" width="9" style="179"/>
    <col min="11521" max="11521" width="3.5" style="179" customWidth="1"/>
    <col min="11522" max="11522" width="12.875" style="179" customWidth="1"/>
    <col min="11523" max="11525" width="10" style="179" bestFit="1" customWidth="1"/>
    <col min="11526" max="11526" width="11" style="179" bestFit="1" customWidth="1"/>
    <col min="11527" max="11527" width="9.125" style="179" bestFit="1" customWidth="1"/>
    <col min="11528" max="11528" width="10" style="179" bestFit="1" customWidth="1"/>
    <col min="11529" max="11529" width="9.375" style="179" customWidth="1"/>
    <col min="11530" max="11530" width="9.25" style="179" customWidth="1"/>
    <col min="11531" max="11531" width="10" style="179" bestFit="1" customWidth="1"/>
    <col min="11532" max="11776" width="9" style="179"/>
    <col min="11777" max="11777" width="3.5" style="179" customWidth="1"/>
    <col min="11778" max="11778" width="12.875" style="179" customWidth="1"/>
    <col min="11779" max="11781" width="10" style="179" bestFit="1" customWidth="1"/>
    <col min="11782" max="11782" width="11" style="179" bestFit="1" customWidth="1"/>
    <col min="11783" max="11783" width="9.125" style="179" bestFit="1" customWidth="1"/>
    <col min="11784" max="11784" width="10" style="179" bestFit="1" customWidth="1"/>
    <col min="11785" max="11785" width="9.375" style="179" customWidth="1"/>
    <col min="11786" max="11786" width="9.25" style="179" customWidth="1"/>
    <col min="11787" max="11787" width="10" style="179" bestFit="1" customWidth="1"/>
    <col min="11788" max="12032" width="9" style="179"/>
    <col min="12033" max="12033" width="3.5" style="179" customWidth="1"/>
    <col min="12034" max="12034" width="12.875" style="179" customWidth="1"/>
    <col min="12035" max="12037" width="10" style="179" bestFit="1" customWidth="1"/>
    <col min="12038" max="12038" width="11" style="179" bestFit="1" customWidth="1"/>
    <col min="12039" max="12039" width="9.125" style="179" bestFit="1" customWidth="1"/>
    <col min="12040" max="12040" width="10" style="179" bestFit="1" customWidth="1"/>
    <col min="12041" max="12041" width="9.375" style="179" customWidth="1"/>
    <col min="12042" max="12042" width="9.25" style="179" customWidth="1"/>
    <col min="12043" max="12043" width="10" style="179" bestFit="1" customWidth="1"/>
    <col min="12044" max="12288" width="9" style="179"/>
    <col min="12289" max="12289" width="3.5" style="179" customWidth="1"/>
    <col min="12290" max="12290" width="12.875" style="179" customWidth="1"/>
    <col min="12291" max="12293" width="10" style="179" bestFit="1" customWidth="1"/>
    <col min="12294" max="12294" width="11" style="179" bestFit="1" customWidth="1"/>
    <col min="12295" max="12295" width="9.125" style="179" bestFit="1" customWidth="1"/>
    <col min="12296" max="12296" width="10" style="179" bestFit="1" customWidth="1"/>
    <col min="12297" max="12297" width="9.375" style="179" customWidth="1"/>
    <col min="12298" max="12298" width="9.25" style="179" customWidth="1"/>
    <col min="12299" max="12299" width="10" style="179" bestFit="1" customWidth="1"/>
    <col min="12300" max="12544" width="9" style="179"/>
    <col min="12545" max="12545" width="3.5" style="179" customWidth="1"/>
    <col min="12546" max="12546" width="12.875" style="179" customWidth="1"/>
    <col min="12547" max="12549" width="10" style="179" bestFit="1" customWidth="1"/>
    <col min="12550" max="12550" width="11" style="179" bestFit="1" customWidth="1"/>
    <col min="12551" max="12551" width="9.125" style="179" bestFit="1" customWidth="1"/>
    <col min="12552" max="12552" width="10" style="179" bestFit="1" customWidth="1"/>
    <col min="12553" max="12553" width="9.375" style="179" customWidth="1"/>
    <col min="12554" max="12554" width="9.25" style="179" customWidth="1"/>
    <col min="12555" max="12555" width="10" style="179" bestFit="1" customWidth="1"/>
    <col min="12556" max="12800" width="9" style="179"/>
    <col min="12801" max="12801" width="3.5" style="179" customWidth="1"/>
    <col min="12802" max="12802" width="12.875" style="179" customWidth="1"/>
    <col min="12803" max="12805" width="10" style="179" bestFit="1" customWidth="1"/>
    <col min="12806" max="12806" width="11" style="179" bestFit="1" customWidth="1"/>
    <col min="12807" max="12807" width="9.125" style="179" bestFit="1" customWidth="1"/>
    <col min="12808" max="12808" width="10" style="179" bestFit="1" customWidth="1"/>
    <col min="12809" max="12809" width="9.375" style="179" customWidth="1"/>
    <col min="12810" max="12810" width="9.25" style="179" customWidth="1"/>
    <col min="12811" max="12811" width="10" style="179" bestFit="1" customWidth="1"/>
    <col min="12812" max="13056" width="9" style="179"/>
    <col min="13057" max="13057" width="3.5" style="179" customWidth="1"/>
    <col min="13058" max="13058" width="12.875" style="179" customWidth="1"/>
    <col min="13059" max="13061" width="10" style="179" bestFit="1" customWidth="1"/>
    <col min="13062" max="13062" width="11" style="179" bestFit="1" customWidth="1"/>
    <col min="13063" max="13063" width="9.125" style="179" bestFit="1" customWidth="1"/>
    <col min="13064" max="13064" width="10" style="179" bestFit="1" customWidth="1"/>
    <col min="13065" max="13065" width="9.375" style="179" customWidth="1"/>
    <col min="13066" max="13066" width="9.25" style="179" customWidth="1"/>
    <col min="13067" max="13067" width="10" style="179" bestFit="1" customWidth="1"/>
    <col min="13068" max="13312" width="9" style="179"/>
    <col min="13313" max="13313" width="3.5" style="179" customWidth="1"/>
    <col min="13314" max="13314" width="12.875" style="179" customWidth="1"/>
    <col min="13315" max="13317" width="10" style="179" bestFit="1" customWidth="1"/>
    <col min="13318" max="13318" width="11" style="179" bestFit="1" customWidth="1"/>
    <col min="13319" max="13319" width="9.125" style="179" bestFit="1" customWidth="1"/>
    <col min="13320" max="13320" width="10" style="179" bestFit="1" customWidth="1"/>
    <col min="13321" max="13321" width="9.375" style="179" customWidth="1"/>
    <col min="13322" max="13322" width="9.25" style="179" customWidth="1"/>
    <col min="13323" max="13323" width="10" style="179" bestFit="1" customWidth="1"/>
    <col min="13324" max="13568" width="9" style="179"/>
    <col min="13569" max="13569" width="3.5" style="179" customWidth="1"/>
    <col min="13570" max="13570" width="12.875" style="179" customWidth="1"/>
    <col min="13571" max="13573" width="10" style="179" bestFit="1" customWidth="1"/>
    <col min="13574" max="13574" width="11" style="179" bestFit="1" customWidth="1"/>
    <col min="13575" max="13575" width="9.125" style="179" bestFit="1" customWidth="1"/>
    <col min="13576" max="13576" width="10" style="179" bestFit="1" customWidth="1"/>
    <col min="13577" max="13577" width="9.375" style="179" customWidth="1"/>
    <col min="13578" max="13578" width="9.25" style="179" customWidth="1"/>
    <col min="13579" max="13579" width="10" style="179" bestFit="1" customWidth="1"/>
    <col min="13580" max="13824" width="9" style="179"/>
    <col min="13825" max="13825" width="3.5" style="179" customWidth="1"/>
    <col min="13826" max="13826" width="12.875" style="179" customWidth="1"/>
    <col min="13827" max="13829" width="10" style="179" bestFit="1" customWidth="1"/>
    <col min="13830" max="13830" width="11" style="179" bestFit="1" customWidth="1"/>
    <col min="13831" max="13831" width="9.125" style="179" bestFit="1" customWidth="1"/>
    <col min="13832" max="13832" width="10" style="179" bestFit="1" customWidth="1"/>
    <col min="13833" max="13833" width="9.375" style="179" customWidth="1"/>
    <col min="13834" max="13834" width="9.25" style="179" customWidth="1"/>
    <col min="13835" max="13835" width="10" style="179" bestFit="1" customWidth="1"/>
    <col min="13836" max="14080" width="9" style="179"/>
    <col min="14081" max="14081" width="3.5" style="179" customWidth="1"/>
    <col min="14082" max="14082" width="12.875" style="179" customWidth="1"/>
    <col min="14083" max="14085" width="10" style="179" bestFit="1" customWidth="1"/>
    <col min="14086" max="14086" width="11" style="179" bestFit="1" customWidth="1"/>
    <col min="14087" max="14087" width="9.125" style="179" bestFit="1" customWidth="1"/>
    <col min="14088" max="14088" width="10" style="179" bestFit="1" customWidth="1"/>
    <col min="14089" max="14089" width="9.375" style="179" customWidth="1"/>
    <col min="14090" max="14090" width="9.25" style="179" customWidth="1"/>
    <col min="14091" max="14091" width="10" style="179" bestFit="1" customWidth="1"/>
    <col min="14092" max="14336" width="9" style="179"/>
    <col min="14337" max="14337" width="3.5" style="179" customWidth="1"/>
    <col min="14338" max="14338" width="12.875" style="179" customWidth="1"/>
    <col min="14339" max="14341" width="10" style="179" bestFit="1" customWidth="1"/>
    <col min="14342" max="14342" width="11" style="179" bestFit="1" customWidth="1"/>
    <col min="14343" max="14343" width="9.125" style="179" bestFit="1" customWidth="1"/>
    <col min="14344" max="14344" width="10" style="179" bestFit="1" customWidth="1"/>
    <col min="14345" max="14345" width="9.375" style="179" customWidth="1"/>
    <col min="14346" max="14346" width="9.25" style="179" customWidth="1"/>
    <col min="14347" max="14347" width="10" style="179" bestFit="1" customWidth="1"/>
    <col min="14348" max="14592" width="9" style="179"/>
    <col min="14593" max="14593" width="3.5" style="179" customWidth="1"/>
    <col min="14594" max="14594" width="12.875" style="179" customWidth="1"/>
    <col min="14595" max="14597" width="10" style="179" bestFit="1" customWidth="1"/>
    <col min="14598" max="14598" width="11" style="179" bestFit="1" customWidth="1"/>
    <col min="14599" max="14599" width="9.125" style="179" bestFit="1" customWidth="1"/>
    <col min="14600" max="14600" width="10" style="179" bestFit="1" customWidth="1"/>
    <col min="14601" max="14601" width="9.375" style="179" customWidth="1"/>
    <col min="14602" max="14602" width="9.25" style="179" customWidth="1"/>
    <col min="14603" max="14603" width="10" style="179" bestFit="1" customWidth="1"/>
    <col min="14604" max="14848" width="9" style="179"/>
    <col min="14849" max="14849" width="3.5" style="179" customWidth="1"/>
    <col min="14850" max="14850" width="12.875" style="179" customWidth="1"/>
    <col min="14851" max="14853" width="10" style="179" bestFit="1" customWidth="1"/>
    <col min="14854" max="14854" width="11" style="179" bestFit="1" customWidth="1"/>
    <col min="14855" max="14855" width="9.125" style="179" bestFit="1" customWidth="1"/>
    <col min="14856" max="14856" width="10" style="179" bestFit="1" customWidth="1"/>
    <col min="14857" max="14857" width="9.375" style="179" customWidth="1"/>
    <col min="14858" max="14858" width="9.25" style="179" customWidth="1"/>
    <col min="14859" max="14859" width="10" style="179" bestFit="1" customWidth="1"/>
    <col min="14860" max="15104" width="9" style="179"/>
    <col min="15105" max="15105" width="3.5" style="179" customWidth="1"/>
    <col min="15106" max="15106" width="12.875" style="179" customWidth="1"/>
    <col min="15107" max="15109" width="10" style="179" bestFit="1" customWidth="1"/>
    <col min="15110" max="15110" width="11" style="179" bestFit="1" customWidth="1"/>
    <col min="15111" max="15111" width="9.125" style="179" bestFit="1" customWidth="1"/>
    <col min="15112" max="15112" width="10" style="179" bestFit="1" customWidth="1"/>
    <col min="15113" max="15113" width="9.375" style="179" customWidth="1"/>
    <col min="15114" max="15114" width="9.25" style="179" customWidth="1"/>
    <col min="15115" max="15115" width="10" style="179" bestFit="1" customWidth="1"/>
    <col min="15116" max="15360" width="9" style="179"/>
    <col min="15361" max="15361" width="3.5" style="179" customWidth="1"/>
    <col min="15362" max="15362" width="12.875" style="179" customWidth="1"/>
    <col min="15363" max="15365" width="10" style="179" bestFit="1" customWidth="1"/>
    <col min="15366" max="15366" width="11" style="179" bestFit="1" customWidth="1"/>
    <col min="15367" max="15367" width="9.125" style="179" bestFit="1" customWidth="1"/>
    <col min="15368" max="15368" width="10" style="179" bestFit="1" customWidth="1"/>
    <col min="15369" max="15369" width="9.375" style="179" customWidth="1"/>
    <col min="15370" max="15370" width="9.25" style="179" customWidth="1"/>
    <col min="15371" max="15371" width="10" style="179" bestFit="1" customWidth="1"/>
    <col min="15372" max="15616" width="9" style="179"/>
    <col min="15617" max="15617" width="3.5" style="179" customWidth="1"/>
    <col min="15618" max="15618" width="12.875" style="179" customWidth="1"/>
    <col min="15619" max="15621" width="10" style="179" bestFit="1" customWidth="1"/>
    <col min="15622" max="15622" width="11" style="179" bestFit="1" customWidth="1"/>
    <col min="15623" max="15623" width="9.125" style="179" bestFit="1" customWidth="1"/>
    <col min="15624" max="15624" width="10" style="179" bestFit="1" customWidth="1"/>
    <col min="15625" max="15625" width="9.375" style="179" customWidth="1"/>
    <col min="15626" max="15626" width="9.25" style="179" customWidth="1"/>
    <col min="15627" max="15627" width="10" style="179" bestFit="1" customWidth="1"/>
    <col min="15628" max="15872" width="9" style="179"/>
    <col min="15873" max="15873" width="3.5" style="179" customWidth="1"/>
    <col min="15874" max="15874" width="12.875" style="179" customWidth="1"/>
    <col min="15875" max="15877" width="10" style="179" bestFit="1" customWidth="1"/>
    <col min="15878" max="15878" width="11" style="179" bestFit="1" customWidth="1"/>
    <col min="15879" max="15879" width="9.125" style="179" bestFit="1" customWidth="1"/>
    <col min="15880" max="15880" width="10" style="179" bestFit="1" customWidth="1"/>
    <col min="15881" max="15881" width="9.375" style="179" customWidth="1"/>
    <col min="15882" max="15882" width="9.25" style="179" customWidth="1"/>
    <col min="15883" max="15883" width="10" style="179" bestFit="1" customWidth="1"/>
    <col min="15884" max="16128" width="9" style="179"/>
    <col min="16129" max="16129" width="3.5" style="179" customWidth="1"/>
    <col min="16130" max="16130" width="12.875" style="179" customWidth="1"/>
    <col min="16131" max="16133" width="10" style="179" bestFit="1" customWidth="1"/>
    <col min="16134" max="16134" width="11" style="179" bestFit="1" customWidth="1"/>
    <col min="16135" max="16135" width="9.125" style="179" bestFit="1" customWidth="1"/>
    <col min="16136" max="16136" width="10" style="179" bestFit="1" customWidth="1"/>
    <col min="16137" max="16137" width="9.375" style="179" customWidth="1"/>
    <col min="16138" max="16138" width="9.25" style="179" customWidth="1"/>
    <col min="16139" max="16139" width="10" style="179" bestFit="1" customWidth="1"/>
    <col min="16140" max="16384" width="9" style="179"/>
  </cols>
  <sheetData>
    <row r="1" spans="2:15" s="179" customFormat="1">
      <c r="B1" s="187" t="s">
        <v>187</v>
      </c>
      <c r="C1" s="254" t="s">
        <v>192</v>
      </c>
      <c r="F1" s="172"/>
      <c r="G1" s="172"/>
      <c r="H1" s="172"/>
      <c r="M1" s="177"/>
      <c r="N1" s="318"/>
      <c r="O1" s="177"/>
    </row>
    <row r="2" spans="2:15" s="179" customFormat="1">
      <c r="F2" s="172"/>
      <c r="G2" s="172"/>
      <c r="H2" s="172"/>
      <c r="M2" s="177"/>
      <c r="N2" s="318"/>
      <c r="O2" s="177"/>
    </row>
    <row r="3" spans="2:15" s="179" customFormat="1">
      <c r="B3" s="188" t="s">
        <v>139</v>
      </c>
      <c r="C3" s="189"/>
      <c r="F3" s="172"/>
      <c r="G3" s="172"/>
      <c r="H3" s="172"/>
      <c r="M3" s="177"/>
      <c r="N3" s="318"/>
      <c r="O3" s="177"/>
    </row>
    <row r="4" spans="2:15" s="179" customFormat="1">
      <c r="B4" s="190"/>
      <c r="C4" s="191"/>
      <c r="F4" s="172"/>
      <c r="G4" s="172"/>
      <c r="H4" s="172"/>
      <c r="M4" s="177"/>
      <c r="N4" s="318"/>
      <c r="O4" s="177"/>
    </row>
    <row r="5" spans="2:15" s="179" customFormat="1">
      <c r="B5" s="255">
        <v>1998</v>
      </c>
      <c r="C5" s="183"/>
      <c r="F5" s="172"/>
      <c r="G5" s="172"/>
      <c r="H5" s="172"/>
      <c r="M5" s="177"/>
      <c r="N5" s="318"/>
      <c r="O5" s="177"/>
    </row>
    <row r="6" spans="2:15" s="179" customFormat="1">
      <c r="B6" s="255">
        <v>1999</v>
      </c>
      <c r="C6" s="183"/>
      <c r="E6" s="192"/>
      <c r="F6" s="192"/>
      <c r="G6" s="164" t="s">
        <v>174</v>
      </c>
      <c r="H6" s="164"/>
      <c r="I6" s="102"/>
      <c r="J6" s="102"/>
      <c r="K6" s="172"/>
      <c r="M6" s="177"/>
      <c r="N6" s="318"/>
      <c r="O6" s="177"/>
    </row>
    <row r="7" spans="2:15" s="179" customFormat="1">
      <c r="B7" s="255">
        <v>2000</v>
      </c>
      <c r="C7" s="183"/>
      <c r="E7" s="172"/>
      <c r="F7" s="172"/>
      <c r="G7" s="172"/>
      <c r="H7" s="172"/>
      <c r="I7" s="172"/>
      <c r="J7" s="172"/>
      <c r="K7" s="172"/>
      <c r="M7" s="177"/>
      <c r="N7" s="318"/>
      <c r="O7" s="177"/>
    </row>
    <row r="8" spans="2:15" s="179" customFormat="1" ht="14.25" customHeight="1">
      <c r="B8" s="255">
        <v>2001</v>
      </c>
      <c r="C8" s="183"/>
      <c r="E8" s="193"/>
      <c r="F8" s="172"/>
      <c r="G8" s="172"/>
      <c r="H8" s="172"/>
      <c r="I8" s="172"/>
      <c r="J8" s="172"/>
      <c r="K8" s="194"/>
      <c r="M8" s="177"/>
      <c r="N8" s="318"/>
      <c r="O8" s="177"/>
    </row>
    <row r="9" spans="2:15" s="179" customFormat="1">
      <c r="B9" s="255">
        <v>2002</v>
      </c>
      <c r="C9" s="183"/>
      <c r="E9" s="172"/>
      <c r="F9" s="172"/>
      <c r="G9" s="172"/>
      <c r="H9" s="172"/>
      <c r="I9" s="172"/>
      <c r="J9" s="172"/>
      <c r="K9" s="172"/>
      <c r="M9" s="177"/>
      <c r="N9" s="318"/>
      <c r="O9" s="177"/>
    </row>
    <row r="10" spans="2:15" s="179" customFormat="1" ht="15">
      <c r="B10" s="255">
        <v>2003</v>
      </c>
      <c r="C10" s="183"/>
      <c r="E10" s="168"/>
      <c r="F10" s="172"/>
      <c r="G10" s="172"/>
      <c r="H10" s="194"/>
      <c r="I10" s="172"/>
      <c r="J10" s="172"/>
      <c r="K10" s="172"/>
      <c r="M10" s="177"/>
      <c r="N10" s="318"/>
      <c r="O10" s="177"/>
    </row>
    <row r="11" spans="2:15" s="179" customFormat="1">
      <c r="B11" s="255">
        <v>2004</v>
      </c>
      <c r="C11" s="183"/>
      <c r="F11" s="172"/>
      <c r="G11" s="172"/>
      <c r="H11" s="172"/>
      <c r="M11" s="177"/>
      <c r="N11" s="318"/>
      <c r="O11" s="177"/>
    </row>
    <row r="12" spans="2:15" s="179" customFormat="1">
      <c r="B12" s="255">
        <v>2005</v>
      </c>
      <c r="C12" s="183"/>
      <c r="F12" s="172"/>
      <c r="G12" s="172"/>
      <c r="H12" s="172"/>
      <c r="M12" s="177"/>
      <c r="N12" s="318"/>
      <c r="O12" s="177"/>
    </row>
    <row r="13" spans="2:15" s="179" customFormat="1">
      <c r="B13" s="255">
        <v>2006</v>
      </c>
      <c r="C13" s="183"/>
      <c r="F13" s="172"/>
      <c r="G13" s="172"/>
      <c r="H13" s="172"/>
      <c r="M13" s="177"/>
      <c r="N13" s="318"/>
      <c r="O13" s="177"/>
    </row>
    <row r="14" spans="2:15" s="179" customFormat="1">
      <c r="B14" s="255">
        <v>2007</v>
      </c>
      <c r="C14" s="183"/>
      <c r="F14" s="172"/>
      <c r="G14" s="172"/>
      <c r="H14" s="172"/>
      <c r="M14" s="177"/>
      <c r="N14" s="318"/>
      <c r="O14" s="177"/>
    </row>
    <row r="15" spans="2:15" s="179" customFormat="1">
      <c r="B15" s="255">
        <v>2008</v>
      </c>
      <c r="C15" s="183"/>
      <c r="F15" s="172"/>
      <c r="G15" s="172"/>
      <c r="H15" s="172"/>
      <c r="M15" s="177"/>
      <c r="N15" s="318"/>
      <c r="O15" s="177"/>
    </row>
    <row r="16" spans="2:15" s="179" customFormat="1">
      <c r="B16" s="255">
        <v>2009</v>
      </c>
      <c r="C16" s="183"/>
      <c r="F16" s="172"/>
      <c r="G16" s="172"/>
      <c r="H16" s="172"/>
      <c r="M16" s="177"/>
      <c r="N16" s="318"/>
      <c r="O16" s="177"/>
    </row>
    <row r="17" spans="2:16">
      <c r="B17" s="255">
        <v>2010</v>
      </c>
      <c r="C17" s="183"/>
      <c r="D17" s="179"/>
      <c r="E17" s="179"/>
      <c r="I17" s="179"/>
      <c r="J17" s="179"/>
      <c r="K17" s="179"/>
      <c r="L17" s="179"/>
      <c r="M17" s="177"/>
      <c r="N17" s="318"/>
      <c r="O17" s="177"/>
      <c r="P17" s="179"/>
    </row>
    <row r="18" spans="2:16">
      <c r="B18" s="255">
        <v>2011</v>
      </c>
      <c r="C18" s="183"/>
      <c r="D18" s="179"/>
      <c r="E18" s="179"/>
      <c r="I18" s="179"/>
      <c r="J18" s="179"/>
      <c r="K18" s="179"/>
      <c r="L18" s="179"/>
      <c r="M18" s="177"/>
      <c r="N18" s="318"/>
      <c r="O18" s="177"/>
      <c r="P18" s="179"/>
    </row>
    <row r="19" spans="2:16">
      <c r="B19" s="182">
        <v>2012</v>
      </c>
      <c r="C19" s="195">
        <v>677658</v>
      </c>
      <c r="D19" s="179"/>
      <c r="E19" s="179"/>
      <c r="I19" s="179"/>
      <c r="J19" s="179"/>
      <c r="K19" s="179"/>
      <c r="L19" s="179"/>
      <c r="M19" s="177"/>
      <c r="N19" s="318"/>
      <c r="O19" s="177"/>
      <c r="P19" s="179"/>
    </row>
    <row r="20" spans="2:16">
      <c r="B20" s="196"/>
      <c r="C20" s="195"/>
      <c r="D20" s="179"/>
      <c r="E20" s="179"/>
      <c r="I20" s="179"/>
      <c r="J20" s="179"/>
      <c r="K20" s="179"/>
      <c r="L20" s="179"/>
      <c r="M20" s="177"/>
      <c r="N20" s="318"/>
      <c r="O20" s="177"/>
      <c r="P20" s="179"/>
    </row>
    <row r="21" spans="2:16">
      <c r="B21" s="197"/>
      <c r="C21" s="198"/>
      <c r="D21" s="179"/>
      <c r="E21" s="179"/>
      <c r="I21" s="179"/>
      <c r="J21" s="179"/>
      <c r="K21" s="179"/>
      <c r="L21" s="179"/>
      <c r="M21" s="177"/>
      <c r="N21" s="318"/>
      <c r="O21" s="177"/>
      <c r="P21" s="179"/>
    </row>
    <row r="22" spans="2:16">
      <c r="B22" s="179"/>
      <c r="C22" s="179"/>
      <c r="D22" s="179"/>
      <c r="E22" s="179"/>
      <c r="I22" s="179"/>
      <c r="J22" s="179"/>
      <c r="K22" s="179"/>
      <c r="L22" s="179"/>
      <c r="M22" s="177"/>
      <c r="N22" s="318"/>
      <c r="O22" s="177"/>
      <c r="P22" s="179"/>
    </row>
    <row r="23" spans="2:16">
      <c r="B23" s="179"/>
      <c r="C23" s="179"/>
      <c r="D23" s="179"/>
      <c r="E23" s="179"/>
      <c r="I23" s="179"/>
      <c r="J23" s="179"/>
      <c r="K23" s="179"/>
      <c r="L23" s="179"/>
      <c r="M23" s="177"/>
      <c r="N23" s="318"/>
      <c r="O23" s="177"/>
      <c r="P23" s="179"/>
    </row>
    <row r="24" spans="2:16">
      <c r="B24" s="188" t="s">
        <v>146</v>
      </c>
      <c r="C24" s="199"/>
      <c r="D24" s="199"/>
      <c r="E24" s="199"/>
      <c r="F24" s="199"/>
      <c r="G24" s="199"/>
      <c r="H24" s="199"/>
      <c r="I24" s="199"/>
      <c r="J24" s="199"/>
      <c r="K24" s="199"/>
      <c r="L24" s="199"/>
      <c r="M24" s="200"/>
      <c r="N24" s="200"/>
      <c r="O24" s="201"/>
      <c r="P24" s="179"/>
    </row>
    <row r="25" spans="2:16">
      <c r="B25" s="190"/>
      <c r="C25" s="179"/>
      <c r="D25" s="179"/>
      <c r="E25" s="179"/>
      <c r="F25" s="179"/>
      <c r="G25" s="179"/>
      <c r="H25" s="179"/>
      <c r="I25" s="179"/>
      <c r="J25" s="179"/>
      <c r="K25" s="179"/>
      <c r="L25" s="179"/>
      <c r="M25" s="177"/>
      <c r="N25" s="318"/>
      <c r="O25" s="178"/>
      <c r="P25" s="179"/>
    </row>
    <row r="26" spans="2:16">
      <c r="B26" s="190"/>
      <c r="C26" s="173">
        <v>2002</v>
      </c>
      <c r="D26" s="173">
        <v>2003</v>
      </c>
      <c r="E26" s="173">
        <v>2004</v>
      </c>
      <c r="F26" s="173">
        <v>2005</v>
      </c>
      <c r="G26" s="173">
        <v>2006</v>
      </c>
      <c r="H26" s="173">
        <v>2007</v>
      </c>
      <c r="I26" s="173">
        <v>2008</v>
      </c>
      <c r="J26" s="173">
        <v>2009</v>
      </c>
      <c r="K26" s="173">
        <v>2010</v>
      </c>
      <c r="L26" s="173">
        <v>2011</v>
      </c>
      <c r="M26" s="173">
        <v>2012</v>
      </c>
      <c r="N26" s="155"/>
      <c r="O26" s="202"/>
      <c r="P26" s="179"/>
    </row>
    <row r="27" spans="2:16">
      <c r="B27" s="190" t="s">
        <v>140</v>
      </c>
      <c r="C27" s="203">
        <f>C9</f>
        <v>0</v>
      </c>
      <c r="D27" s="203">
        <f>C10</f>
        <v>0</v>
      </c>
      <c r="E27" s="176">
        <f>C11</f>
        <v>0</v>
      </c>
      <c r="F27" s="176">
        <f>C12</f>
        <v>0</v>
      </c>
      <c r="G27" s="176">
        <f>C13</f>
        <v>0</v>
      </c>
      <c r="H27" s="176">
        <f>C14</f>
        <v>0</v>
      </c>
      <c r="I27" s="184">
        <f>C15</f>
        <v>0</v>
      </c>
      <c r="J27" s="184">
        <f>C16</f>
        <v>0</v>
      </c>
      <c r="K27" s="184">
        <f>C17</f>
        <v>0</v>
      </c>
      <c r="L27" s="184">
        <f>C18</f>
        <v>0</v>
      </c>
      <c r="M27" s="173">
        <f>C19</f>
        <v>677658</v>
      </c>
      <c r="N27" s="318"/>
      <c r="O27" s="178"/>
      <c r="P27" s="179"/>
    </row>
    <row r="28" spans="2:16">
      <c r="B28" s="190" t="s">
        <v>141</v>
      </c>
      <c r="C28" s="176"/>
      <c r="D28" s="176"/>
      <c r="E28" s="176"/>
      <c r="F28" s="176"/>
      <c r="G28" s="176"/>
      <c r="H28" s="176"/>
      <c r="I28" s="184"/>
      <c r="J28" s="184"/>
      <c r="K28" s="184"/>
      <c r="L28" s="184"/>
      <c r="M28" s="265">
        <v>423536</v>
      </c>
      <c r="N28" s="318"/>
      <c r="O28" s="178"/>
      <c r="P28" s="179"/>
    </row>
    <row r="29" spans="2:16">
      <c r="B29" s="190" t="s">
        <v>142</v>
      </c>
      <c r="C29" s="176"/>
      <c r="D29" s="176"/>
      <c r="E29" s="176"/>
      <c r="F29" s="176"/>
      <c r="G29" s="176"/>
      <c r="H29" s="176"/>
      <c r="I29" s="184"/>
      <c r="J29" s="184"/>
      <c r="K29" s="184"/>
      <c r="L29" s="184"/>
      <c r="M29" s="265">
        <v>338829</v>
      </c>
      <c r="N29" s="318"/>
      <c r="O29" s="178"/>
      <c r="P29" s="179"/>
    </row>
    <row r="30" spans="2:16">
      <c r="B30" s="204" t="s">
        <v>143</v>
      </c>
      <c r="C30" s="176"/>
      <c r="D30" s="176"/>
      <c r="E30" s="176"/>
      <c r="F30" s="176"/>
      <c r="G30" s="176"/>
      <c r="H30" s="176"/>
      <c r="I30" s="184"/>
      <c r="J30" s="184"/>
      <c r="K30" s="184"/>
      <c r="L30" s="184"/>
      <c r="M30" s="265">
        <v>188238</v>
      </c>
      <c r="N30" s="318"/>
      <c r="O30" s="178"/>
      <c r="P30" s="179"/>
    </row>
    <row r="31" spans="2:16">
      <c r="B31" s="204" t="s">
        <v>83</v>
      </c>
      <c r="C31" s="176"/>
      <c r="D31" s="176"/>
      <c r="E31" s="176"/>
      <c r="F31" s="176"/>
      <c r="G31" s="176"/>
      <c r="H31" s="176"/>
      <c r="I31" s="184"/>
      <c r="J31" s="184"/>
      <c r="K31" s="184"/>
      <c r="L31" s="184"/>
      <c r="M31" s="265">
        <v>178826</v>
      </c>
      <c r="N31" s="318"/>
      <c r="O31" s="178"/>
      <c r="P31" s="179"/>
    </row>
    <row r="32" spans="2:16">
      <c r="B32" s="204" t="s">
        <v>84</v>
      </c>
      <c r="C32" s="176"/>
      <c r="D32" s="176"/>
      <c r="E32" s="176"/>
      <c r="F32" s="176"/>
      <c r="G32" s="176"/>
      <c r="H32" s="176"/>
      <c r="I32" s="184"/>
      <c r="J32" s="184"/>
      <c r="K32" s="184"/>
      <c r="L32" s="184"/>
      <c r="M32" s="265">
        <v>160002</v>
      </c>
      <c r="N32" s="318"/>
      <c r="O32" s="178"/>
      <c r="P32" s="179"/>
    </row>
    <row r="33" spans="2:16">
      <c r="B33" s="204" t="s">
        <v>85</v>
      </c>
      <c r="C33" s="176"/>
      <c r="D33" s="176"/>
      <c r="E33" s="176"/>
      <c r="F33" s="176"/>
      <c r="G33" s="176"/>
      <c r="H33" s="176"/>
      <c r="I33" s="184"/>
      <c r="J33" s="184"/>
      <c r="K33" s="184"/>
      <c r="L33" s="184"/>
      <c r="M33" s="265">
        <v>141178</v>
      </c>
      <c r="N33" s="318"/>
      <c r="O33" s="178"/>
      <c r="P33" s="179"/>
    </row>
    <row r="34" spans="2:16">
      <c r="B34" s="204" t="s">
        <v>86</v>
      </c>
      <c r="C34" s="176"/>
      <c r="D34" s="176"/>
      <c r="E34" s="176"/>
      <c r="F34" s="176"/>
      <c r="G34" s="176"/>
      <c r="H34" s="176"/>
      <c r="I34" s="184"/>
      <c r="J34" s="184"/>
      <c r="K34" s="184"/>
      <c r="L34" s="184"/>
      <c r="M34" s="265">
        <v>94119</v>
      </c>
      <c r="N34" s="318"/>
      <c r="O34" s="178"/>
      <c r="P34" s="179"/>
    </row>
    <row r="35" spans="2:16">
      <c r="B35" s="204" t="s">
        <v>87</v>
      </c>
      <c r="C35" s="176"/>
      <c r="D35" s="176"/>
      <c r="E35" s="176"/>
      <c r="F35" s="176"/>
      <c r="G35" s="176"/>
      <c r="H35" s="176"/>
      <c r="I35" s="184"/>
      <c r="J35" s="184"/>
      <c r="K35" s="184"/>
      <c r="L35" s="184"/>
      <c r="M35" s="265">
        <v>80001</v>
      </c>
      <c r="N35" s="318"/>
      <c r="O35" s="178"/>
      <c r="P35" s="179"/>
    </row>
    <row r="36" spans="2:16">
      <c r="B36" s="204" t="s">
        <v>88</v>
      </c>
      <c r="C36" s="176"/>
      <c r="D36" s="176"/>
      <c r="E36" s="176"/>
      <c r="F36" s="176"/>
      <c r="G36" s="176"/>
      <c r="H36" s="176"/>
      <c r="I36" s="184"/>
      <c r="J36" s="184"/>
      <c r="K36" s="184"/>
      <c r="L36" s="184"/>
      <c r="M36" s="265">
        <v>47059</v>
      </c>
      <c r="N36" s="318"/>
      <c r="O36" s="178"/>
      <c r="P36" s="179"/>
    </row>
    <row r="37" spans="2:16">
      <c r="B37" s="204" t="s">
        <v>89</v>
      </c>
      <c r="C37" s="176"/>
      <c r="D37" s="176"/>
      <c r="E37" s="176"/>
      <c r="F37" s="176"/>
      <c r="G37" s="176"/>
      <c r="H37" s="176"/>
      <c r="I37" s="184"/>
      <c r="J37" s="184"/>
      <c r="K37" s="184"/>
      <c r="L37" s="184"/>
      <c r="M37" s="265">
        <v>36706</v>
      </c>
      <c r="N37" s="318"/>
      <c r="O37" s="178"/>
      <c r="P37" s="179"/>
    </row>
    <row r="38" spans="2:16">
      <c r="B38" s="204" t="s">
        <v>90</v>
      </c>
      <c r="C38" s="176"/>
      <c r="D38" s="176"/>
      <c r="E38" s="176"/>
      <c r="F38" s="176"/>
      <c r="G38" s="176"/>
      <c r="H38" s="176"/>
      <c r="I38" s="184"/>
      <c r="J38" s="184"/>
      <c r="K38" s="184"/>
      <c r="L38" s="184"/>
      <c r="M38" s="265">
        <v>38588</v>
      </c>
      <c r="N38" s="318"/>
      <c r="O38" s="178"/>
      <c r="P38" s="179"/>
    </row>
    <row r="39" spans="2:16">
      <c r="B39" s="204" t="s">
        <v>91</v>
      </c>
      <c r="C39" s="176"/>
      <c r="D39" s="176"/>
      <c r="E39" s="176"/>
      <c r="F39" s="176"/>
      <c r="G39" s="176"/>
      <c r="H39" s="176"/>
      <c r="I39" s="184"/>
      <c r="J39" s="184"/>
      <c r="K39" s="184"/>
      <c r="L39" s="184"/>
      <c r="M39" s="265">
        <v>34824</v>
      </c>
      <c r="N39" s="318"/>
      <c r="O39" s="178"/>
      <c r="P39" s="179"/>
    </row>
    <row r="40" spans="2:16">
      <c r="B40" s="204" t="s">
        <v>92</v>
      </c>
      <c r="C40" s="176"/>
      <c r="D40" s="176"/>
      <c r="E40" s="176"/>
      <c r="F40" s="176"/>
      <c r="G40" s="176"/>
      <c r="H40" s="176"/>
      <c r="I40" s="184"/>
      <c r="J40" s="184"/>
      <c r="K40" s="184"/>
      <c r="L40" s="184"/>
      <c r="M40" s="265">
        <v>28235</v>
      </c>
      <c r="N40" s="318"/>
      <c r="O40" s="178"/>
      <c r="P40" s="179"/>
    </row>
    <row r="41" spans="2:16">
      <c r="B41" s="205" t="s">
        <v>95</v>
      </c>
      <c r="C41" s="176"/>
      <c r="D41" s="176"/>
      <c r="E41" s="176"/>
      <c r="F41" s="176"/>
      <c r="G41" s="176"/>
      <c r="H41" s="176"/>
      <c r="I41" s="184"/>
      <c r="J41" s="184"/>
      <c r="K41" s="184"/>
      <c r="L41" s="184"/>
      <c r="M41" s="265">
        <v>21647</v>
      </c>
      <c r="N41" s="318"/>
      <c r="O41" s="178"/>
      <c r="P41" s="179"/>
    </row>
    <row r="42" spans="2:16">
      <c r="B42" s="205" t="s">
        <v>96</v>
      </c>
      <c r="C42" s="176"/>
      <c r="D42" s="176"/>
      <c r="E42" s="176"/>
      <c r="F42" s="176"/>
      <c r="G42" s="176"/>
      <c r="H42" s="176"/>
      <c r="I42" s="184"/>
      <c r="J42" s="184"/>
      <c r="K42" s="184"/>
      <c r="L42" s="184"/>
      <c r="M42" s="265">
        <v>15059</v>
      </c>
      <c r="N42" s="318"/>
      <c r="O42" s="178"/>
      <c r="P42" s="179"/>
    </row>
    <row r="43" spans="2:16">
      <c r="B43" s="205" t="s">
        <v>93</v>
      </c>
      <c r="C43" s="176"/>
      <c r="D43" s="176"/>
      <c r="E43" s="176"/>
      <c r="F43" s="176"/>
      <c r="G43" s="176"/>
      <c r="H43" s="176"/>
      <c r="I43" s="184"/>
      <c r="J43" s="184"/>
      <c r="K43" s="184"/>
      <c r="L43" s="184"/>
      <c r="M43" s="265">
        <v>10353</v>
      </c>
      <c r="N43" s="318"/>
      <c r="O43" s="178"/>
      <c r="P43" s="179"/>
    </row>
    <row r="44" spans="2:16">
      <c r="B44" s="205" t="s">
        <v>97</v>
      </c>
      <c r="C44" s="176"/>
      <c r="D44" s="176"/>
      <c r="E44" s="176"/>
      <c r="F44" s="176"/>
      <c r="G44" s="176"/>
      <c r="H44" s="176"/>
      <c r="I44" s="184"/>
      <c r="J44" s="184"/>
      <c r="K44" s="184"/>
      <c r="L44" s="184"/>
      <c r="M44" s="265">
        <v>7341</v>
      </c>
      <c r="N44" s="318"/>
      <c r="O44" s="178"/>
      <c r="P44" s="179"/>
    </row>
    <row r="45" spans="2:16">
      <c r="B45" s="205" t="s">
        <v>144</v>
      </c>
      <c r="C45" s="176"/>
      <c r="D45" s="176"/>
      <c r="E45" s="176"/>
      <c r="F45" s="176"/>
      <c r="G45" s="176"/>
      <c r="H45" s="176"/>
      <c r="I45" s="184"/>
      <c r="J45" s="206"/>
      <c r="K45" s="206"/>
      <c r="L45" s="184"/>
      <c r="M45" s="265">
        <v>8094</v>
      </c>
      <c r="N45" s="318"/>
      <c r="O45" s="178"/>
      <c r="P45" s="179"/>
    </row>
    <row r="46" spans="2:16">
      <c r="B46" s="207" t="s">
        <v>94</v>
      </c>
      <c r="C46" s="181"/>
      <c r="D46" s="181"/>
      <c r="E46" s="181"/>
      <c r="F46" s="181"/>
      <c r="G46" s="181"/>
      <c r="H46" s="181"/>
      <c r="I46" s="208"/>
      <c r="J46" s="208"/>
      <c r="K46" s="208"/>
      <c r="L46" s="208"/>
      <c r="M46" s="174">
        <f>SUM(M41:M45)</f>
        <v>62494</v>
      </c>
      <c r="N46" s="319"/>
      <c r="O46" s="180"/>
      <c r="P46" s="179"/>
    </row>
    <row r="47" spans="2:16" s="172" customFormat="1">
      <c r="B47" s="102"/>
      <c r="C47" s="173"/>
      <c r="D47" s="173"/>
      <c r="E47" s="173"/>
      <c r="F47" s="173"/>
      <c r="G47" s="173"/>
      <c r="H47" s="173"/>
      <c r="I47" s="209"/>
      <c r="J47" s="209"/>
      <c r="K47" s="209"/>
      <c r="L47" s="173"/>
      <c r="M47" s="173"/>
      <c r="N47" s="317"/>
      <c r="O47" s="173"/>
    </row>
    <row r="48" spans="2:16" s="172" customFormat="1">
      <c r="B48" s="179"/>
      <c r="C48" s="173"/>
      <c r="D48" s="173"/>
      <c r="E48" s="173"/>
      <c r="F48" s="173"/>
      <c r="G48" s="173"/>
      <c r="H48" s="173"/>
      <c r="I48" s="209"/>
      <c r="J48" s="209"/>
      <c r="K48" s="209"/>
      <c r="L48" s="173"/>
      <c r="M48" s="173"/>
      <c r="N48" s="317"/>
      <c r="O48" s="173"/>
    </row>
    <row r="49" spans="2:15" s="172" customFormat="1">
      <c r="D49" s="173"/>
      <c r="E49" s="173"/>
      <c r="F49" s="173"/>
      <c r="G49" s="173"/>
      <c r="H49" s="173"/>
      <c r="I49" s="209"/>
      <c r="J49" s="209"/>
      <c r="K49" s="209"/>
      <c r="L49" s="173"/>
      <c r="M49" s="173"/>
      <c r="N49" s="317"/>
      <c r="O49" s="173"/>
    </row>
    <row r="50" spans="2:15" s="172" customFormat="1">
      <c r="D50" s="173"/>
      <c r="E50" s="173"/>
      <c r="F50" s="173"/>
      <c r="G50" s="173"/>
      <c r="H50" s="173"/>
      <c r="I50" s="209"/>
      <c r="J50" s="209"/>
      <c r="K50" s="209"/>
      <c r="L50" s="173"/>
      <c r="M50" s="173"/>
      <c r="N50" s="317"/>
      <c r="O50" s="173"/>
    </row>
    <row r="51" spans="2:15" s="172" customFormat="1">
      <c r="D51" s="173"/>
      <c r="E51" s="173"/>
      <c r="F51" s="173"/>
      <c r="G51" s="173"/>
      <c r="H51" s="173"/>
      <c r="I51" s="209"/>
      <c r="J51" s="209"/>
      <c r="K51" s="209"/>
      <c r="L51" s="173"/>
      <c r="M51" s="173"/>
      <c r="N51" s="317"/>
      <c r="O51" s="173"/>
    </row>
    <row r="52" spans="2:15" s="172" customFormat="1">
      <c r="D52" s="173"/>
      <c r="E52" s="173"/>
      <c r="F52" s="173"/>
      <c r="G52" s="173"/>
      <c r="H52" s="173"/>
      <c r="I52" s="209"/>
      <c r="J52" s="209"/>
      <c r="K52" s="209"/>
      <c r="L52" s="173"/>
      <c r="M52" s="173"/>
      <c r="N52" s="317"/>
      <c r="O52" s="173"/>
    </row>
    <row r="53" spans="2:15" s="179" customFormat="1">
      <c r="M53" s="177"/>
      <c r="N53" s="318"/>
      <c r="O53" s="177"/>
    </row>
    <row r="54" spans="2:15" s="179" customFormat="1">
      <c r="B54" s="188" t="s">
        <v>147</v>
      </c>
      <c r="C54" s="199"/>
      <c r="D54" s="199"/>
      <c r="E54" s="199"/>
      <c r="F54" s="199"/>
      <c r="G54" s="199"/>
      <c r="H54" s="199"/>
      <c r="I54" s="199"/>
      <c r="J54" s="199"/>
      <c r="K54" s="199"/>
      <c r="L54" s="199"/>
      <c r="M54" s="200"/>
      <c r="N54" s="200"/>
      <c r="O54" s="201"/>
    </row>
    <row r="55" spans="2:15" s="179" customFormat="1">
      <c r="B55" s="190"/>
      <c r="C55" s="257"/>
      <c r="D55" s="257"/>
      <c r="E55" s="257"/>
      <c r="F55" s="257"/>
      <c r="G55" s="257"/>
      <c r="H55" s="257"/>
      <c r="I55" s="257"/>
      <c r="J55" s="257"/>
      <c r="K55" s="257"/>
      <c r="L55" s="257"/>
      <c r="M55" s="259"/>
      <c r="N55" s="318"/>
      <c r="O55" s="262"/>
    </row>
    <row r="56" spans="2:15" s="179" customFormat="1">
      <c r="B56" s="190"/>
      <c r="C56" s="263" t="s">
        <v>0</v>
      </c>
      <c r="D56" s="263" t="s">
        <v>1</v>
      </c>
      <c r="E56" s="263" t="s">
        <v>2</v>
      </c>
      <c r="F56" s="263" t="s">
        <v>3</v>
      </c>
      <c r="G56" s="263" t="s">
        <v>4</v>
      </c>
      <c r="H56" s="263" t="s">
        <v>5</v>
      </c>
      <c r="I56" s="263" t="s">
        <v>6</v>
      </c>
      <c r="J56" s="263" t="s">
        <v>7</v>
      </c>
      <c r="K56" s="263" t="s">
        <v>8</v>
      </c>
      <c r="L56" s="263">
        <v>2011</v>
      </c>
      <c r="M56" s="258">
        <v>2012</v>
      </c>
      <c r="N56" s="155"/>
      <c r="O56" s="112"/>
    </row>
    <row r="57" spans="2:15" s="179" customFormat="1">
      <c r="B57" s="211" t="s">
        <v>102</v>
      </c>
      <c r="C57" s="237">
        <f t="shared" ref="C57:F57" si="0">C84+C111+C139+C165</f>
        <v>0</v>
      </c>
      <c r="D57" s="237">
        <f t="shared" si="0"/>
        <v>103</v>
      </c>
      <c r="E57" s="237">
        <f t="shared" si="0"/>
        <v>104</v>
      </c>
      <c r="F57" s="237">
        <f t="shared" si="0"/>
        <v>72</v>
      </c>
      <c r="G57" s="237">
        <f t="shared" ref="G57:M66" si="1">G84+G111+G139+G165</f>
        <v>42</v>
      </c>
      <c r="H57" s="237">
        <f t="shared" si="1"/>
        <v>26</v>
      </c>
      <c r="I57" s="237">
        <f t="shared" si="1"/>
        <v>29</v>
      </c>
      <c r="J57" s="237">
        <f t="shared" si="1"/>
        <v>18</v>
      </c>
      <c r="K57" s="237">
        <f t="shared" si="1"/>
        <v>20</v>
      </c>
      <c r="L57" s="237">
        <f t="shared" si="1"/>
        <v>33</v>
      </c>
      <c r="M57" s="258">
        <f t="shared" si="1"/>
        <v>34</v>
      </c>
      <c r="N57" s="318"/>
      <c r="O57" s="262"/>
    </row>
    <row r="58" spans="2:15" s="179" customFormat="1">
      <c r="B58" s="190" t="s">
        <v>98</v>
      </c>
      <c r="C58" s="237">
        <f t="shared" ref="C58:F58" si="2">C85+C112+C140+C166</f>
        <v>0</v>
      </c>
      <c r="D58" s="237">
        <f t="shared" si="2"/>
        <v>4982</v>
      </c>
      <c r="E58" s="237">
        <f t="shared" si="2"/>
        <v>2732</v>
      </c>
      <c r="F58" s="237">
        <f t="shared" si="2"/>
        <v>2089</v>
      </c>
      <c r="G58" s="237">
        <f t="shared" si="1"/>
        <v>2574</v>
      </c>
      <c r="H58" s="237">
        <f t="shared" si="1"/>
        <v>2646</v>
      </c>
      <c r="I58" s="237">
        <f t="shared" si="1"/>
        <v>2407</v>
      </c>
      <c r="J58" s="237">
        <f t="shared" si="1"/>
        <v>2033</v>
      </c>
      <c r="K58" s="237">
        <f t="shared" si="1"/>
        <v>2149</v>
      </c>
      <c r="L58" s="237">
        <f t="shared" si="1"/>
        <v>1221</v>
      </c>
      <c r="M58" s="258">
        <f t="shared" si="1"/>
        <v>1317</v>
      </c>
      <c r="N58" s="318"/>
      <c r="O58" s="262"/>
    </row>
    <row r="59" spans="2:15" s="179" customFormat="1">
      <c r="B59" s="190" t="s">
        <v>99</v>
      </c>
      <c r="C59" s="237">
        <f t="shared" ref="C59:F59" si="3">C86+C113+C141+C167</f>
        <v>0</v>
      </c>
      <c r="D59" s="237">
        <f t="shared" si="3"/>
        <v>13175</v>
      </c>
      <c r="E59" s="237">
        <f t="shared" si="3"/>
        <v>14660</v>
      </c>
      <c r="F59" s="237">
        <f t="shared" si="3"/>
        <v>15714</v>
      </c>
      <c r="G59" s="237">
        <f t="shared" si="1"/>
        <v>18513</v>
      </c>
      <c r="H59" s="237">
        <f t="shared" si="1"/>
        <v>20587</v>
      </c>
      <c r="I59" s="237">
        <f t="shared" si="1"/>
        <v>18930</v>
      </c>
      <c r="J59" s="237">
        <f t="shared" si="1"/>
        <v>17105</v>
      </c>
      <c r="K59" s="237">
        <f t="shared" si="1"/>
        <v>20563</v>
      </c>
      <c r="L59" s="237">
        <f t="shared" si="1"/>
        <v>9936</v>
      </c>
      <c r="M59" s="258">
        <f t="shared" si="1"/>
        <v>9526</v>
      </c>
      <c r="N59" s="318"/>
      <c r="O59" s="262"/>
    </row>
    <row r="60" spans="2:15" s="179" customFormat="1">
      <c r="B60" s="190" t="s">
        <v>83</v>
      </c>
      <c r="C60" s="237">
        <f t="shared" ref="C60:F60" si="4">C87+C114+C142+C168</f>
        <v>0</v>
      </c>
      <c r="D60" s="237">
        <f t="shared" si="4"/>
        <v>17405</v>
      </c>
      <c r="E60" s="237">
        <f t="shared" si="4"/>
        <v>18941</v>
      </c>
      <c r="F60" s="237">
        <f t="shared" si="4"/>
        <v>21480</v>
      </c>
      <c r="G60" s="237">
        <f t="shared" si="1"/>
        <v>22875</v>
      </c>
      <c r="H60" s="237">
        <f t="shared" si="1"/>
        <v>23272</v>
      </c>
      <c r="I60" s="237">
        <f t="shared" si="1"/>
        <v>24134</v>
      </c>
      <c r="J60" s="237">
        <f t="shared" si="1"/>
        <v>25080</v>
      </c>
      <c r="K60" s="237">
        <f t="shared" si="1"/>
        <v>23299</v>
      </c>
      <c r="L60" s="237">
        <f t="shared" si="1"/>
        <v>11729</v>
      </c>
      <c r="M60" s="258">
        <f t="shared" si="1"/>
        <v>11336</v>
      </c>
      <c r="N60" s="318"/>
      <c r="O60" s="262"/>
    </row>
    <row r="61" spans="2:15" s="179" customFormat="1">
      <c r="B61" s="190" t="s">
        <v>84</v>
      </c>
      <c r="C61" s="237">
        <f t="shared" ref="C61:F61" si="5">C88+C115+C143+C169</f>
        <v>0</v>
      </c>
      <c r="D61" s="237">
        <f t="shared" si="5"/>
        <v>15701</v>
      </c>
      <c r="E61" s="237">
        <f t="shared" si="5"/>
        <v>17051</v>
      </c>
      <c r="F61" s="237">
        <f t="shared" si="5"/>
        <v>18420</v>
      </c>
      <c r="G61" s="237">
        <f t="shared" si="1"/>
        <v>23089</v>
      </c>
      <c r="H61" s="237">
        <f t="shared" si="1"/>
        <v>24207</v>
      </c>
      <c r="I61" s="237">
        <f t="shared" si="1"/>
        <v>21872</v>
      </c>
      <c r="J61" s="237">
        <f t="shared" si="1"/>
        <v>24559</v>
      </c>
      <c r="K61" s="237">
        <f t="shared" si="1"/>
        <v>23902</v>
      </c>
      <c r="L61" s="237">
        <f t="shared" si="1"/>
        <v>12524</v>
      </c>
      <c r="M61" s="258">
        <f t="shared" si="1"/>
        <v>12042</v>
      </c>
      <c r="N61" s="318"/>
      <c r="O61" s="262"/>
    </row>
    <row r="62" spans="2:15" s="179" customFormat="1">
      <c r="B62" s="190" t="s">
        <v>85</v>
      </c>
      <c r="C62" s="237">
        <f t="shared" ref="C62:F62" si="6">C89+C116+C144+C170</f>
        <v>0</v>
      </c>
      <c r="D62" s="237">
        <f t="shared" si="6"/>
        <v>14832</v>
      </c>
      <c r="E62" s="237">
        <f t="shared" si="6"/>
        <v>15983</v>
      </c>
      <c r="F62" s="237">
        <f t="shared" si="6"/>
        <v>16928</v>
      </c>
      <c r="G62" s="237">
        <f t="shared" si="1"/>
        <v>20072</v>
      </c>
      <c r="H62" s="237">
        <f t="shared" si="1"/>
        <v>20745</v>
      </c>
      <c r="I62" s="237">
        <f t="shared" si="1"/>
        <v>20899</v>
      </c>
      <c r="J62" s="237">
        <f t="shared" si="1"/>
        <v>21764</v>
      </c>
      <c r="K62" s="237">
        <f t="shared" si="1"/>
        <v>23227</v>
      </c>
      <c r="L62" s="237">
        <f t="shared" si="1"/>
        <v>12730</v>
      </c>
      <c r="M62" s="258">
        <f t="shared" si="1"/>
        <v>12190</v>
      </c>
      <c r="N62" s="318"/>
      <c r="O62" s="262"/>
    </row>
    <row r="63" spans="2:15" s="179" customFormat="1">
      <c r="B63" s="190" t="s">
        <v>86</v>
      </c>
      <c r="C63" s="237">
        <f t="shared" ref="C63:F63" si="7">C90+C117+C145+C171</f>
        <v>0</v>
      </c>
      <c r="D63" s="237">
        <f t="shared" si="7"/>
        <v>14058</v>
      </c>
      <c r="E63" s="237">
        <f t="shared" si="7"/>
        <v>15399</v>
      </c>
      <c r="F63" s="237">
        <f t="shared" si="7"/>
        <v>16927</v>
      </c>
      <c r="G63" s="237">
        <f t="shared" si="1"/>
        <v>18068</v>
      </c>
      <c r="H63" s="237">
        <f t="shared" si="1"/>
        <v>17229</v>
      </c>
      <c r="I63" s="237">
        <f t="shared" si="1"/>
        <v>19396</v>
      </c>
      <c r="J63" s="237">
        <f t="shared" si="1"/>
        <v>19605</v>
      </c>
      <c r="K63" s="237">
        <f t="shared" si="1"/>
        <v>19303</v>
      </c>
      <c r="L63" s="237">
        <f t="shared" si="1"/>
        <v>20692</v>
      </c>
      <c r="M63" s="258">
        <f t="shared" si="1"/>
        <v>19765</v>
      </c>
      <c r="N63" s="318"/>
      <c r="O63" s="262"/>
    </row>
    <row r="64" spans="2:15" s="179" customFormat="1">
      <c r="B64" s="190" t="s">
        <v>87</v>
      </c>
      <c r="C64" s="237">
        <f t="shared" ref="C64:F64" si="8">C91+C118+C146+C172</f>
        <v>0</v>
      </c>
      <c r="D64" s="237">
        <f t="shared" si="8"/>
        <v>14650</v>
      </c>
      <c r="E64" s="237">
        <f t="shared" si="8"/>
        <v>15706</v>
      </c>
      <c r="F64" s="237">
        <f t="shared" si="8"/>
        <v>17843</v>
      </c>
      <c r="G64" s="237">
        <f t="shared" si="1"/>
        <v>17831</v>
      </c>
      <c r="H64" s="237">
        <f t="shared" si="1"/>
        <v>16389</v>
      </c>
      <c r="I64" s="237">
        <f t="shared" si="1"/>
        <v>16090</v>
      </c>
      <c r="J64" s="237">
        <f t="shared" si="1"/>
        <v>18707</v>
      </c>
      <c r="K64" s="237">
        <f t="shared" si="1"/>
        <v>17155</v>
      </c>
      <c r="L64" s="237">
        <f t="shared" si="1"/>
        <v>16590</v>
      </c>
      <c r="M64" s="258">
        <f t="shared" si="1"/>
        <v>15811</v>
      </c>
      <c r="N64" s="318"/>
      <c r="O64" s="262"/>
    </row>
    <row r="65" spans="2:15" s="179" customFormat="1">
      <c r="B65" s="190" t="s">
        <v>88</v>
      </c>
      <c r="C65" s="237">
        <f t="shared" ref="C65:F65" si="9">C92+C119+C147+C173</f>
        <v>0</v>
      </c>
      <c r="D65" s="237">
        <f t="shared" si="9"/>
        <v>13907</v>
      </c>
      <c r="E65" s="237">
        <f t="shared" si="9"/>
        <v>15236</v>
      </c>
      <c r="F65" s="237">
        <f t="shared" si="9"/>
        <v>15710</v>
      </c>
      <c r="G65" s="237">
        <f t="shared" si="1"/>
        <v>17227</v>
      </c>
      <c r="H65" s="237">
        <f t="shared" si="1"/>
        <v>13054</v>
      </c>
      <c r="I65" s="237">
        <f t="shared" si="1"/>
        <v>14334</v>
      </c>
      <c r="J65" s="237">
        <f t="shared" si="1"/>
        <v>14354</v>
      </c>
      <c r="K65" s="237">
        <f t="shared" si="1"/>
        <v>15808</v>
      </c>
      <c r="L65" s="237">
        <f t="shared" si="1"/>
        <v>14130</v>
      </c>
      <c r="M65" s="258">
        <f t="shared" si="1"/>
        <v>13501</v>
      </c>
      <c r="N65" s="318"/>
      <c r="O65" s="262"/>
    </row>
    <row r="66" spans="2:15" s="179" customFormat="1">
      <c r="B66" s="190" t="s">
        <v>89</v>
      </c>
      <c r="C66" s="237">
        <f t="shared" ref="C66:F66" si="10">C93+C120+C148+C174</f>
        <v>0</v>
      </c>
      <c r="D66" s="237">
        <f t="shared" si="10"/>
        <v>12458</v>
      </c>
      <c r="E66" s="237">
        <f t="shared" si="10"/>
        <v>13957</v>
      </c>
      <c r="F66" s="237">
        <f t="shared" si="10"/>
        <v>15242</v>
      </c>
      <c r="G66" s="237">
        <f t="shared" si="1"/>
        <v>17347</v>
      </c>
      <c r="H66" s="237">
        <f t="shared" si="1"/>
        <v>15557</v>
      </c>
      <c r="I66" s="237">
        <f t="shared" si="1"/>
        <v>13571</v>
      </c>
      <c r="J66" s="237">
        <f t="shared" si="1"/>
        <v>12177</v>
      </c>
      <c r="K66" s="237">
        <f t="shared" si="1"/>
        <v>11855</v>
      </c>
      <c r="L66" s="237">
        <f t="shared" si="1"/>
        <v>12156</v>
      </c>
      <c r="M66" s="258">
        <f t="shared" si="1"/>
        <v>11577</v>
      </c>
      <c r="N66" s="318"/>
      <c r="O66" s="262"/>
    </row>
    <row r="67" spans="2:15" s="179" customFormat="1">
      <c r="B67" s="190" t="s">
        <v>90</v>
      </c>
      <c r="C67" s="237">
        <f t="shared" ref="C67:F67" si="11">C94+C121+C149+C175</f>
        <v>0</v>
      </c>
      <c r="D67" s="237">
        <f t="shared" si="11"/>
        <v>10840</v>
      </c>
      <c r="E67" s="237">
        <f t="shared" si="11"/>
        <v>12111</v>
      </c>
      <c r="F67" s="237">
        <f t="shared" si="11"/>
        <v>13621</v>
      </c>
      <c r="G67" s="237">
        <f t="shared" ref="G67:M75" si="12">G94+G121+G149+G175</f>
        <v>14689</v>
      </c>
      <c r="H67" s="237">
        <f t="shared" si="12"/>
        <v>13603</v>
      </c>
      <c r="I67" s="237">
        <f t="shared" si="12"/>
        <v>13508</v>
      </c>
      <c r="J67" s="237">
        <f t="shared" si="12"/>
        <v>12341</v>
      </c>
      <c r="K67" s="237">
        <f t="shared" si="12"/>
        <v>9555</v>
      </c>
      <c r="L67" s="237">
        <f t="shared" si="12"/>
        <v>8682</v>
      </c>
      <c r="M67" s="258">
        <f t="shared" si="12"/>
        <v>8223</v>
      </c>
      <c r="N67" s="318"/>
      <c r="O67" s="262"/>
    </row>
    <row r="68" spans="2:15" s="179" customFormat="1">
      <c r="B68" s="190" t="s">
        <v>91</v>
      </c>
      <c r="C68" s="237">
        <f t="shared" ref="C68:F68" si="13">C95+C122+C150+C176</f>
        <v>0</v>
      </c>
      <c r="D68" s="237">
        <f t="shared" si="13"/>
        <v>8158</v>
      </c>
      <c r="E68" s="237">
        <f t="shared" si="13"/>
        <v>8760</v>
      </c>
      <c r="F68" s="237">
        <f t="shared" si="13"/>
        <v>9372</v>
      </c>
      <c r="G68" s="237">
        <f t="shared" si="12"/>
        <v>12502</v>
      </c>
      <c r="H68" s="237">
        <f t="shared" si="12"/>
        <v>11291</v>
      </c>
      <c r="I68" s="237">
        <f t="shared" si="12"/>
        <v>10995</v>
      </c>
      <c r="J68" s="237">
        <f t="shared" si="12"/>
        <v>11534</v>
      </c>
      <c r="K68" s="237">
        <f t="shared" si="12"/>
        <v>8597</v>
      </c>
      <c r="L68" s="237">
        <f t="shared" si="12"/>
        <v>7261</v>
      </c>
      <c r="M68" s="258">
        <f t="shared" si="12"/>
        <v>6914</v>
      </c>
      <c r="N68" s="318"/>
      <c r="O68" s="262"/>
    </row>
    <row r="69" spans="2:15" s="179" customFormat="1">
      <c r="B69" s="190" t="s">
        <v>92</v>
      </c>
      <c r="C69" s="237">
        <f t="shared" ref="C69:F69" si="14">C96+C123+C151+C177</f>
        <v>0</v>
      </c>
      <c r="D69" s="237">
        <f t="shared" si="14"/>
        <v>5817</v>
      </c>
      <c r="E69" s="237">
        <f t="shared" si="14"/>
        <v>6340</v>
      </c>
      <c r="F69" s="237">
        <f t="shared" si="14"/>
        <v>6209</v>
      </c>
      <c r="G69" s="237">
        <f t="shared" si="12"/>
        <v>7904</v>
      </c>
      <c r="H69" s="237">
        <f t="shared" si="12"/>
        <v>8994</v>
      </c>
      <c r="I69" s="237">
        <f t="shared" si="12"/>
        <v>8503</v>
      </c>
      <c r="J69" s="237">
        <f t="shared" si="12"/>
        <v>8450</v>
      </c>
      <c r="K69" s="237">
        <f t="shared" si="12"/>
        <v>7437</v>
      </c>
      <c r="L69" s="237">
        <f t="shared" si="12"/>
        <v>6418</v>
      </c>
      <c r="M69" s="258">
        <f t="shared" si="12"/>
        <v>6115</v>
      </c>
      <c r="N69" s="318"/>
      <c r="O69" s="262"/>
    </row>
    <row r="70" spans="2:15" s="179" customFormat="1">
      <c r="B70" s="190" t="s">
        <v>95</v>
      </c>
      <c r="C70" s="237">
        <f t="shared" ref="C70:F70" si="15">C97+C124+C152+C178</f>
        <v>0</v>
      </c>
      <c r="D70" s="237">
        <f t="shared" si="15"/>
        <v>6487</v>
      </c>
      <c r="E70" s="237">
        <f t="shared" si="15"/>
        <v>7072</v>
      </c>
      <c r="F70" s="237">
        <f t="shared" si="15"/>
        <v>6377</v>
      </c>
      <c r="G70" s="237">
        <f t="shared" si="12"/>
        <v>8774</v>
      </c>
      <c r="H70" s="237">
        <f t="shared" si="12"/>
        <v>9255</v>
      </c>
      <c r="I70" s="237">
        <f t="shared" si="12"/>
        <v>11286</v>
      </c>
      <c r="J70" s="237">
        <f t="shared" si="12"/>
        <v>11889</v>
      </c>
      <c r="K70" s="237">
        <f t="shared" si="12"/>
        <v>11845</v>
      </c>
      <c r="L70" s="237">
        <f t="shared" si="12"/>
        <v>11565</v>
      </c>
      <c r="M70" s="258">
        <f t="shared" si="12"/>
        <v>11006</v>
      </c>
      <c r="N70" s="318"/>
      <c r="O70" s="262"/>
    </row>
    <row r="71" spans="2:15" s="179" customFormat="1">
      <c r="B71" s="190" t="s">
        <v>96</v>
      </c>
      <c r="C71" s="237">
        <f t="shared" ref="C71:F71" si="16">C98+C125+C153+C179</f>
        <v>0</v>
      </c>
      <c r="D71" s="237">
        <f t="shared" si="16"/>
        <v>754</v>
      </c>
      <c r="E71" s="237">
        <f t="shared" si="16"/>
        <v>836</v>
      </c>
      <c r="F71" s="237">
        <f t="shared" si="16"/>
        <v>757</v>
      </c>
      <c r="G71" s="237">
        <f t="shared" si="12"/>
        <v>1049</v>
      </c>
      <c r="H71" s="237">
        <f t="shared" si="12"/>
        <v>1127</v>
      </c>
      <c r="I71" s="237">
        <f t="shared" si="12"/>
        <v>1358</v>
      </c>
      <c r="J71" s="237">
        <f t="shared" si="12"/>
        <v>1423</v>
      </c>
      <c r="K71" s="237">
        <f t="shared" si="12"/>
        <v>1431</v>
      </c>
      <c r="L71" s="237">
        <f t="shared" si="12"/>
        <v>1389</v>
      </c>
      <c r="M71" s="258">
        <f t="shared" si="12"/>
        <v>1330</v>
      </c>
      <c r="N71" s="318"/>
      <c r="O71" s="262"/>
    </row>
    <row r="72" spans="2:15" s="179" customFormat="1">
      <c r="B72" s="190" t="s">
        <v>93</v>
      </c>
      <c r="C72" s="237">
        <f t="shared" ref="C72:F72" si="17">C99+C126+C154+C180</f>
        <v>0</v>
      </c>
      <c r="D72" s="237">
        <f t="shared" si="17"/>
        <v>185</v>
      </c>
      <c r="E72" s="237">
        <f t="shared" si="17"/>
        <v>211</v>
      </c>
      <c r="F72" s="237">
        <f t="shared" si="17"/>
        <v>194</v>
      </c>
      <c r="G72" s="237">
        <f t="shared" si="12"/>
        <v>271</v>
      </c>
      <c r="H72" s="237">
        <f t="shared" si="12"/>
        <v>300</v>
      </c>
      <c r="I72" s="237">
        <f t="shared" si="12"/>
        <v>354</v>
      </c>
      <c r="J72" s="237">
        <f t="shared" si="12"/>
        <v>368</v>
      </c>
      <c r="K72" s="237">
        <f t="shared" si="12"/>
        <v>374</v>
      </c>
      <c r="L72" s="237">
        <f t="shared" si="12"/>
        <v>358</v>
      </c>
      <c r="M72" s="258">
        <f t="shared" si="12"/>
        <v>349</v>
      </c>
      <c r="N72" s="318"/>
      <c r="O72" s="262"/>
    </row>
    <row r="73" spans="2:15" s="179" customFormat="1">
      <c r="B73" s="190" t="s">
        <v>97</v>
      </c>
      <c r="C73" s="237">
        <f t="shared" ref="C73:F73" si="18">C100+C127+C155+C181</f>
        <v>0</v>
      </c>
      <c r="D73" s="237">
        <f t="shared" si="18"/>
        <v>27</v>
      </c>
      <c r="E73" s="237">
        <f t="shared" si="18"/>
        <v>34</v>
      </c>
      <c r="F73" s="237">
        <f t="shared" si="18"/>
        <v>31</v>
      </c>
      <c r="G73" s="237">
        <f t="shared" si="12"/>
        <v>46</v>
      </c>
      <c r="H73" s="237">
        <f t="shared" si="12"/>
        <v>57</v>
      </c>
      <c r="I73" s="237">
        <f t="shared" si="12"/>
        <v>63</v>
      </c>
      <c r="J73" s="237">
        <f t="shared" si="12"/>
        <v>63</v>
      </c>
      <c r="K73" s="237">
        <f t="shared" si="12"/>
        <v>67</v>
      </c>
      <c r="L73" s="237">
        <f t="shared" si="12"/>
        <v>62</v>
      </c>
      <c r="M73" s="258">
        <f t="shared" si="12"/>
        <v>58</v>
      </c>
      <c r="N73" s="318"/>
      <c r="O73" s="262"/>
    </row>
    <row r="74" spans="2:15" s="179" customFormat="1">
      <c r="B74" s="190" t="s">
        <v>136</v>
      </c>
      <c r="C74" s="237">
        <f t="shared" ref="C74:F74" si="19">C101+C128+C156+C182</f>
        <v>0</v>
      </c>
      <c r="D74" s="237">
        <f t="shared" si="19"/>
        <v>60</v>
      </c>
      <c r="E74" s="237">
        <f t="shared" si="19"/>
        <v>64</v>
      </c>
      <c r="F74" s="237">
        <f t="shared" si="19"/>
        <v>59</v>
      </c>
      <c r="G74" s="237">
        <f t="shared" si="12"/>
        <v>80</v>
      </c>
      <c r="H74" s="237">
        <f t="shared" si="12"/>
        <v>96</v>
      </c>
      <c r="I74" s="237">
        <f t="shared" si="12"/>
        <v>106</v>
      </c>
      <c r="J74" s="237">
        <f t="shared" si="12"/>
        <v>104</v>
      </c>
      <c r="K74" s="237">
        <f t="shared" si="12"/>
        <v>98</v>
      </c>
      <c r="L74" s="237">
        <f t="shared" si="12"/>
        <v>93</v>
      </c>
      <c r="M74" s="258">
        <f t="shared" si="12"/>
        <v>95</v>
      </c>
      <c r="N74" s="318"/>
      <c r="O74" s="262"/>
    </row>
    <row r="75" spans="2:15" s="179" customFormat="1">
      <c r="B75" s="190" t="s">
        <v>94</v>
      </c>
      <c r="C75" s="237">
        <f t="shared" ref="C75:G76" si="20">C102+C129+C157+C183</f>
        <v>0</v>
      </c>
      <c r="D75" s="237">
        <f t="shared" si="20"/>
        <v>0</v>
      </c>
      <c r="E75" s="237">
        <f t="shared" si="20"/>
        <v>0</v>
      </c>
      <c r="F75" s="237">
        <f t="shared" si="20"/>
        <v>0</v>
      </c>
      <c r="G75" s="237">
        <f t="shared" si="12"/>
        <v>0</v>
      </c>
      <c r="H75" s="237">
        <f t="shared" si="12"/>
        <v>0</v>
      </c>
      <c r="I75" s="237">
        <f t="shared" si="12"/>
        <v>0</v>
      </c>
      <c r="J75" s="237">
        <f t="shared" si="12"/>
        <v>0</v>
      </c>
      <c r="K75" s="237">
        <f t="shared" si="12"/>
        <v>0</v>
      </c>
      <c r="L75" s="237">
        <f t="shared" si="12"/>
        <v>0</v>
      </c>
      <c r="M75" s="258">
        <f t="shared" si="12"/>
        <v>0</v>
      </c>
      <c r="N75" s="318"/>
      <c r="O75" s="262"/>
    </row>
    <row r="76" spans="2:15" s="172" customFormat="1">
      <c r="B76" s="256" t="s">
        <v>175</v>
      </c>
      <c r="C76" s="238">
        <f t="shared" si="20"/>
        <v>0</v>
      </c>
      <c r="D76" s="238">
        <f t="shared" si="20"/>
        <v>0</v>
      </c>
      <c r="E76" s="238">
        <f t="shared" si="20"/>
        <v>0</v>
      </c>
      <c r="F76" s="238">
        <f t="shared" si="20"/>
        <v>0</v>
      </c>
      <c r="G76" s="238">
        <f t="shared" si="20"/>
        <v>0</v>
      </c>
      <c r="H76" s="238">
        <f t="shared" ref="H76:M76" si="21">SUM(H84:H104)+SUM(H111:H131)+SUM(H139:H160)+SUM(H165:H184)</f>
        <v>198435</v>
      </c>
      <c r="I76" s="238">
        <f t="shared" si="21"/>
        <v>197835</v>
      </c>
      <c r="J76" s="238">
        <f t="shared" si="21"/>
        <v>201574</v>
      </c>
      <c r="K76" s="238">
        <f t="shared" si="21"/>
        <v>196685</v>
      </c>
      <c r="L76" s="264">
        <f t="shared" si="21"/>
        <v>147569</v>
      </c>
      <c r="M76" s="260">
        <f t="shared" si="21"/>
        <v>141189</v>
      </c>
      <c r="N76" s="320"/>
      <c r="O76" s="222"/>
    </row>
    <row r="77" spans="2:15" s="172" customFormat="1">
      <c r="C77" s="143"/>
      <c r="D77" s="143"/>
      <c r="E77" s="143"/>
      <c r="F77" s="143"/>
      <c r="G77" s="143"/>
      <c r="H77" s="143"/>
      <c r="I77" s="143"/>
      <c r="J77" s="143"/>
      <c r="K77" s="143"/>
      <c r="M77" s="173"/>
      <c r="N77" s="317"/>
      <c r="O77" s="173"/>
    </row>
    <row r="78" spans="2:15" s="172" customFormat="1">
      <c r="C78" s="143"/>
      <c r="D78" s="143"/>
      <c r="E78" s="143"/>
      <c r="F78" s="143"/>
      <c r="G78" s="143"/>
      <c r="H78" s="143"/>
      <c r="I78" s="143"/>
      <c r="J78" s="143"/>
      <c r="K78" s="143"/>
      <c r="M78" s="173"/>
      <c r="N78" s="317"/>
      <c r="O78" s="173"/>
    </row>
    <row r="79" spans="2:15" s="172" customFormat="1">
      <c r="C79" s="143"/>
      <c r="D79" s="143"/>
      <c r="E79" s="143"/>
      <c r="F79" s="143"/>
      <c r="G79" s="143"/>
      <c r="H79" s="143"/>
      <c r="I79" s="143"/>
      <c r="J79" s="143"/>
      <c r="K79" s="143"/>
      <c r="M79" s="173"/>
      <c r="N79" s="317"/>
      <c r="O79" s="173"/>
    </row>
    <row r="80" spans="2:15" s="179" customFormat="1">
      <c r="M80" s="177"/>
      <c r="N80" s="318"/>
      <c r="O80" s="177"/>
    </row>
    <row r="81" spans="2:16">
      <c r="B81" s="212" t="s">
        <v>148</v>
      </c>
      <c r="C81" s="213"/>
      <c r="D81" s="213"/>
      <c r="E81" s="213"/>
      <c r="F81" s="213"/>
      <c r="G81" s="213"/>
      <c r="H81" s="213"/>
      <c r="I81" s="213"/>
      <c r="J81" s="213"/>
      <c r="K81" s="214"/>
      <c r="L81" s="214"/>
      <c r="M81" s="200"/>
      <c r="N81" s="200"/>
      <c r="O81" s="201"/>
    </row>
    <row r="82" spans="2:16">
      <c r="B82" s="211"/>
      <c r="C82" s="215"/>
      <c r="D82" s="215"/>
      <c r="E82" s="215"/>
      <c r="F82" s="215"/>
      <c r="G82" s="215"/>
      <c r="H82" s="215"/>
      <c r="I82" s="215"/>
      <c r="J82" s="215"/>
      <c r="K82" s="215"/>
      <c r="L82" s="215"/>
      <c r="M82" s="259"/>
      <c r="N82" s="318"/>
      <c r="O82" s="262"/>
      <c r="P82" s="258"/>
    </row>
    <row r="83" spans="2:16">
      <c r="B83" s="211"/>
      <c r="C83" s="267" t="s">
        <v>0</v>
      </c>
      <c r="D83" s="267" t="s">
        <v>1</v>
      </c>
      <c r="E83" s="267" t="s">
        <v>2</v>
      </c>
      <c r="F83" s="267" t="s">
        <v>3</v>
      </c>
      <c r="G83" s="258" t="s">
        <v>4</v>
      </c>
      <c r="H83" s="258" t="s">
        <v>5</v>
      </c>
      <c r="I83" s="258" t="s">
        <v>6</v>
      </c>
      <c r="J83" s="258" t="s">
        <v>7</v>
      </c>
      <c r="K83" s="258" t="s">
        <v>8</v>
      </c>
      <c r="L83" s="258">
        <v>2011</v>
      </c>
      <c r="M83" s="258">
        <v>2012</v>
      </c>
      <c r="N83" s="155"/>
      <c r="O83" s="112"/>
      <c r="P83" s="258"/>
    </row>
    <row r="84" spans="2:16">
      <c r="B84" s="211" t="s">
        <v>102</v>
      </c>
      <c r="C84" s="271">
        <v>0</v>
      </c>
      <c r="D84" s="271">
        <v>23</v>
      </c>
      <c r="E84" s="271">
        <v>24</v>
      </c>
      <c r="F84" s="271">
        <v>8</v>
      </c>
      <c r="G84" s="271">
        <v>3</v>
      </c>
      <c r="H84" s="271">
        <v>1</v>
      </c>
      <c r="I84" s="271">
        <v>7</v>
      </c>
      <c r="J84" s="271">
        <v>0</v>
      </c>
      <c r="K84" s="271">
        <v>0</v>
      </c>
      <c r="L84" s="271">
        <v>25</v>
      </c>
      <c r="M84" s="258">
        <v>24</v>
      </c>
      <c r="N84" s="318"/>
      <c r="O84" s="262"/>
    </row>
    <row r="85" spans="2:16">
      <c r="B85" s="211" t="s">
        <v>98</v>
      </c>
      <c r="C85" s="271">
        <v>0</v>
      </c>
      <c r="D85" s="271">
        <v>3286</v>
      </c>
      <c r="E85" s="271">
        <v>837</v>
      </c>
      <c r="F85" s="271">
        <v>83</v>
      </c>
      <c r="G85" s="271">
        <v>53</v>
      </c>
      <c r="H85" s="271">
        <v>24</v>
      </c>
      <c r="I85" s="271">
        <v>36</v>
      </c>
      <c r="J85" s="271">
        <v>8</v>
      </c>
      <c r="K85" s="271">
        <v>24</v>
      </c>
      <c r="L85" s="271">
        <v>19</v>
      </c>
      <c r="M85" s="267">
        <v>18</v>
      </c>
      <c r="N85" s="318"/>
      <c r="O85" s="262"/>
    </row>
    <row r="86" spans="2:16">
      <c r="B86" s="211" t="s">
        <v>99</v>
      </c>
      <c r="C86" s="271">
        <v>0</v>
      </c>
      <c r="D86" s="271">
        <v>12043</v>
      </c>
      <c r="E86" s="271">
        <v>13396</v>
      </c>
      <c r="F86" s="271">
        <v>14426</v>
      </c>
      <c r="G86" s="271">
        <v>16939</v>
      </c>
      <c r="H86" s="271">
        <v>18970</v>
      </c>
      <c r="I86" s="271">
        <v>17274</v>
      </c>
      <c r="J86" s="271">
        <v>15629</v>
      </c>
      <c r="K86" s="271">
        <v>19132</v>
      </c>
      <c r="L86" s="271">
        <v>9038</v>
      </c>
      <c r="M86" s="267">
        <v>8586</v>
      </c>
      <c r="N86" s="185"/>
      <c r="O86" s="262"/>
      <c r="P86" s="186"/>
    </row>
    <row r="87" spans="2:16">
      <c r="B87" s="211" t="s">
        <v>83</v>
      </c>
      <c r="C87" s="271">
        <v>0</v>
      </c>
      <c r="D87" s="271">
        <v>15199</v>
      </c>
      <c r="E87" s="271">
        <v>16538</v>
      </c>
      <c r="F87" s="271">
        <v>19016</v>
      </c>
      <c r="G87" s="271">
        <v>19945</v>
      </c>
      <c r="H87" s="271">
        <v>20342</v>
      </c>
      <c r="I87" s="271">
        <v>21177</v>
      </c>
      <c r="J87" s="271">
        <v>22401</v>
      </c>
      <c r="K87" s="271">
        <v>20715</v>
      </c>
      <c r="L87" s="271">
        <v>10195</v>
      </c>
      <c r="M87" s="267">
        <v>9685</v>
      </c>
      <c r="N87" s="185"/>
      <c r="O87" s="262"/>
      <c r="P87" s="186"/>
    </row>
    <row r="88" spans="2:16">
      <c r="B88" s="211" t="s">
        <v>84</v>
      </c>
      <c r="C88" s="271">
        <v>0</v>
      </c>
      <c r="D88" s="271">
        <v>13617</v>
      </c>
      <c r="E88" s="271">
        <v>14765</v>
      </c>
      <c r="F88" s="271">
        <v>16182</v>
      </c>
      <c r="G88" s="271">
        <v>20202</v>
      </c>
      <c r="H88" s="271">
        <v>21377</v>
      </c>
      <c r="I88" s="271">
        <v>19154</v>
      </c>
      <c r="J88" s="271">
        <v>21914</v>
      </c>
      <c r="K88" s="271">
        <v>21334</v>
      </c>
      <c r="L88" s="271">
        <v>10220</v>
      </c>
      <c r="M88" s="267">
        <v>9709</v>
      </c>
      <c r="N88" s="185"/>
      <c r="O88" s="262"/>
      <c r="P88" s="186"/>
    </row>
    <row r="89" spans="2:16">
      <c r="B89" s="211" t="s">
        <v>85</v>
      </c>
      <c r="C89" s="271">
        <v>0</v>
      </c>
      <c r="D89" s="271">
        <v>12884</v>
      </c>
      <c r="E89" s="271">
        <v>13883</v>
      </c>
      <c r="F89" s="271">
        <v>14849</v>
      </c>
      <c r="G89" s="271">
        <v>17450</v>
      </c>
      <c r="H89" s="271">
        <v>18133</v>
      </c>
      <c r="I89" s="271">
        <v>18282</v>
      </c>
      <c r="J89" s="271">
        <v>19437</v>
      </c>
      <c r="K89" s="271">
        <v>20925</v>
      </c>
      <c r="L89" s="271">
        <v>10608</v>
      </c>
      <c r="M89" s="267">
        <v>10078</v>
      </c>
      <c r="N89" s="185"/>
      <c r="O89" s="262"/>
      <c r="P89" s="186"/>
    </row>
    <row r="90" spans="2:16">
      <c r="B90" s="211" t="s">
        <v>86</v>
      </c>
      <c r="C90" s="271">
        <v>0</v>
      </c>
      <c r="D90" s="271">
        <v>12459</v>
      </c>
      <c r="E90" s="271">
        <v>13618</v>
      </c>
      <c r="F90" s="271">
        <v>15178</v>
      </c>
      <c r="G90" s="271">
        <v>16004</v>
      </c>
      <c r="H90" s="271">
        <v>15153</v>
      </c>
      <c r="I90" s="271">
        <v>17204</v>
      </c>
      <c r="J90" s="271">
        <v>17623</v>
      </c>
      <c r="K90" s="271">
        <v>17458</v>
      </c>
      <c r="L90" s="271">
        <v>18997</v>
      </c>
      <c r="M90" s="267">
        <v>18047</v>
      </c>
      <c r="N90" s="185"/>
      <c r="O90" s="262"/>
      <c r="P90" s="186"/>
    </row>
    <row r="91" spans="2:16">
      <c r="B91" s="211" t="s">
        <v>87</v>
      </c>
      <c r="C91" s="271">
        <v>0</v>
      </c>
      <c r="D91" s="271">
        <v>13307</v>
      </c>
      <c r="E91" s="271">
        <v>14237</v>
      </c>
      <c r="F91" s="271">
        <v>16247</v>
      </c>
      <c r="G91" s="271">
        <v>16009</v>
      </c>
      <c r="H91" s="271">
        <v>14569</v>
      </c>
      <c r="I91" s="271">
        <v>14390</v>
      </c>
      <c r="J91" s="271">
        <v>17035</v>
      </c>
      <c r="K91" s="271">
        <v>15660</v>
      </c>
      <c r="L91" s="271">
        <v>15274</v>
      </c>
      <c r="M91" s="267">
        <v>14510</v>
      </c>
      <c r="N91" s="185"/>
      <c r="O91" s="262"/>
      <c r="P91" s="186"/>
    </row>
    <row r="92" spans="2:16">
      <c r="B92" s="211" t="s">
        <v>88</v>
      </c>
      <c r="C92" s="271">
        <v>0</v>
      </c>
      <c r="D92" s="271">
        <v>12850</v>
      </c>
      <c r="E92" s="271">
        <v>14044</v>
      </c>
      <c r="F92" s="271">
        <v>14350</v>
      </c>
      <c r="G92" s="271">
        <v>15674</v>
      </c>
      <c r="H92" s="271">
        <v>12636</v>
      </c>
      <c r="I92" s="271">
        <v>12970</v>
      </c>
      <c r="J92" s="271">
        <v>13135</v>
      </c>
      <c r="K92" s="271">
        <v>14669</v>
      </c>
      <c r="L92" s="271">
        <v>13207</v>
      </c>
      <c r="M92" s="267">
        <v>12547</v>
      </c>
      <c r="N92" s="185"/>
      <c r="O92" s="262"/>
      <c r="P92" s="186"/>
    </row>
    <row r="93" spans="2:16">
      <c r="B93" s="211" t="s">
        <v>89</v>
      </c>
      <c r="C93" s="271">
        <v>0</v>
      </c>
      <c r="D93" s="271">
        <v>11708</v>
      </c>
      <c r="E93" s="271">
        <v>13064</v>
      </c>
      <c r="F93" s="271">
        <v>14177</v>
      </c>
      <c r="G93" s="271">
        <v>15991</v>
      </c>
      <c r="H93" s="271">
        <v>14149</v>
      </c>
      <c r="I93" s="271">
        <v>12413</v>
      </c>
      <c r="J93" s="271">
        <v>11194</v>
      </c>
      <c r="K93" s="271">
        <v>11028</v>
      </c>
      <c r="L93" s="271">
        <v>11426</v>
      </c>
      <c r="M93" s="267">
        <v>10855</v>
      </c>
      <c r="N93" s="185"/>
      <c r="O93" s="262"/>
      <c r="P93" s="186"/>
    </row>
    <row r="94" spans="2:16">
      <c r="B94" s="211" t="s">
        <v>90</v>
      </c>
      <c r="C94" s="271">
        <v>0</v>
      </c>
      <c r="D94" s="271">
        <v>10270</v>
      </c>
      <c r="E94" s="271">
        <v>11444</v>
      </c>
      <c r="F94" s="271">
        <v>12838</v>
      </c>
      <c r="G94" s="271">
        <v>13748</v>
      </c>
      <c r="H94" s="271">
        <v>12624</v>
      </c>
      <c r="I94" s="271">
        <v>12621</v>
      </c>
      <c r="J94" s="271">
        <v>11599</v>
      </c>
      <c r="K94" s="271">
        <v>8928</v>
      </c>
      <c r="L94" s="271">
        <v>8150</v>
      </c>
      <c r="M94" s="267">
        <v>7743</v>
      </c>
      <c r="N94" s="185"/>
      <c r="O94" s="262"/>
      <c r="P94" s="186"/>
    </row>
    <row r="95" spans="2:16">
      <c r="B95" s="211" t="s">
        <v>91</v>
      </c>
      <c r="C95" s="271">
        <v>0</v>
      </c>
      <c r="D95" s="271">
        <v>7808</v>
      </c>
      <c r="E95" s="271">
        <v>8326</v>
      </c>
      <c r="F95" s="271">
        <v>8903</v>
      </c>
      <c r="G95" s="271">
        <v>11777</v>
      </c>
      <c r="H95" s="271">
        <v>10469</v>
      </c>
      <c r="I95" s="271">
        <v>10230</v>
      </c>
      <c r="J95" s="271">
        <v>10876</v>
      </c>
      <c r="K95" s="271">
        <v>8088</v>
      </c>
      <c r="L95" s="271">
        <v>6896</v>
      </c>
      <c r="M95" s="267">
        <v>6551</v>
      </c>
      <c r="N95" s="185"/>
      <c r="O95" s="262"/>
      <c r="P95" s="186"/>
    </row>
    <row r="96" spans="2:16">
      <c r="B96" s="211" t="s">
        <v>92</v>
      </c>
      <c r="C96" s="271">
        <v>0</v>
      </c>
      <c r="D96" s="271">
        <v>5589</v>
      </c>
      <c r="E96" s="271">
        <v>6045</v>
      </c>
      <c r="F96" s="271">
        <v>5852</v>
      </c>
      <c r="G96" s="271">
        <v>7378</v>
      </c>
      <c r="H96" s="271">
        <v>8338</v>
      </c>
      <c r="I96" s="271">
        <v>7860</v>
      </c>
      <c r="J96" s="271">
        <v>7928</v>
      </c>
      <c r="K96" s="271">
        <v>7006</v>
      </c>
      <c r="L96" s="271">
        <v>6127</v>
      </c>
      <c r="M96" s="267">
        <v>5821</v>
      </c>
      <c r="N96" s="185"/>
      <c r="O96" s="262"/>
      <c r="P96" s="186"/>
    </row>
    <row r="97" spans="2:16">
      <c r="B97" s="211" t="s">
        <v>95</v>
      </c>
      <c r="C97" s="271">
        <v>0</v>
      </c>
      <c r="D97" s="271">
        <v>6339</v>
      </c>
      <c r="E97" s="271">
        <v>6919</v>
      </c>
      <c r="F97" s="271">
        <v>6234</v>
      </c>
      <c r="G97" s="271">
        <v>8584</v>
      </c>
      <c r="H97" s="271">
        <v>9023</v>
      </c>
      <c r="I97" s="271">
        <v>11037</v>
      </c>
      <c r="J97" s="271">
        <v>11649</v>
      </c>
      <c r="K97" s="271">
        <v>11622</v>
      </c>
      <c r="L97" s="271">
        <v>11354</v>
      </c>
      <c r="M97" s="267">
        <v>10786</v>
      </c>
      <c r="N97" s="318"/>
      <c r="O97" s="262"/>
      <c r="P97" s="186"/>
    </row>
    <row r="98" spans="2:16">
      <c r="B98" s="211" t="s">
        <v>96</v>
      </c>
      <c r="C98" s="271">
        <v>0</v>
      </c>
      <c r="D98" s="271">
        <v>699</v>
      </c>
      <c r="E98" s="271">
        <v>763</v>
      </c>
      <c r="F98" s="271">
        <v>687</v>
      </c>
      <c r="G98" s="271">
        <v>946</v>
      </c>
      <c r="H98" s="271">
        <v>995</v>
      </c>
      <c r="I98" s="271">
        <v>1217</v>
      </c>
      <c r="J98" s="271">
        <v>1284</v>
      </c>
      <c r="K98" s="271">
        <v>1281</v>
      </c>
      <c r="L98" s="271">
        <v>1252</v>
      </c>
      <c r="M98" s="267">
        <v>1189</v>
      </c>
      <c r="N98" s="318"/>
      <c r="O98" s="262"/>
      <c r="P98" s="186"/>
    </row>
    <row r="99" spans="2:16">
      <c r="B99" s="211" t="s">
        <v>93</v>
      </c>
      <c r="C99" s="271">
        <v>0</v>
      </c>
      <c r="D99" s="271">
        <v>151</v>
      </c>
      <c r="E99" s="271">
        <v>165</v>
      </c>
      <c r="F99" s="271">
        <v>149</v>
      </c>
      <c r="G99" s="271">
        <v>205</v>
      </c>
      <c r="H99" s="271">
        <v>216</v>
      </c>
      <c r="I99" s="271">
        <v>264</v>
      </c>
      <c r="J99" s="271">
        <v>278</v>
      </c>
      <c r="K99" s="271">
        <v>278</v>
      </c>
      <c r="L99" s="271">
        <v>271</v>
      </c>
      <c r="M99" s="267">
        <v>260</v>
      </c>
      <c r="N99" s="318"/>
      <c r="O99" s="262"/>
      <c r="P99" s="186"/>
    </row>
    <row r="100" spans="2:16">
      <c r="B100" s="211" t="s">
        <v>97</v>
      </c>
      <c r="C100" s="271">
        <v>0</v>
      </c>
      <c r="D100" s="271">
        <v>8</v>
      </c>
      <c r="E100" s="271">
        <v>8</v>
      </c>
      <c r="F100" s="271">
        <v>7</v>
      </c>
      <c r="G100" s="271">
        <v>10</v>
      </c>
      <c r="H100" s="271">
        <v>11</v>
      </c>
      <c r="I100" s="271">
        <v>13</v>
      </c>
      <c r="J100" s="271">
        <v>14</v>
      </c>
      <c r="K100" s="271">
        <v>14</v>
      </c>
      <c r="L100" s="271">
        <v>14</v>
      </c>
      <c r="M100" s="267">
        <v>11</v>
      </c>
      <c r="N100" s="318"/>
      <c r="O100" s="262"/>
      <c r="P100" s="246"/>
    </row>
    <row r="101" spans="2:16">
      <c r="B101" s="190" t="s">
        <v>136</v>
      </c>
      <c r="C101" s="271">
        <v>0</v>
      </c>
      <c r="D101" s="271">
        <v>10</v>
      </c>
      <c r="E101" s="271">
        <v>11</v>
      </c>
      <c r="F101" s="271">
        <v>10</v>
      </c>
      <c r="G101" s="271">
        <v>14</v>
      </c>
      <c r="H101" s="271">
        <v>15</v>
      </c>
      <c r="I101" s="271">
        <v>18</v>
      </c>
      <c r="J101" s="271">
        <v>19</v>
      </c>
      <c r="K101" s="271">
        <v>19</v>
      </c>
      <c r="L101" s="271">
        <v>18</v>
      </c>
      <c r="M101" s="267">
        <v>21</v>
      </c>
      <c r="N101" s="318"/>
      <c r="O101" s="262"/>
      <c r="P101" s="246"/>
    </row>
    <row r="102" spans="2:16">
      <c r="B102" s="216" t="s">
        <v>94</v>
      </c>
      <c r="C102" s="269"/>
      <c r="D102" s="269"/>
      <c r="E102" s="269"/>
      <c r="F102" s="269"/>
      <c r="G102" s="269"/>
      <c r="H102" s="269"/>
      <c r="I102" s="269"/>
      <c r="J102" s="269"/>
      <c r="K102" s="269"/>
      <c r="L102" s="269"/>
      <c r="M102" s="269"/>
      <c r="N102" s="266"/>
      <c r="O102" s="222"/>
      <c r="P102" s="186"/>
    </row>
    <row r="103" spans="2:16" s="172" customFormat="1">
      <c r="B103" s="217"/>
      <c r="C103" s="258"/>
      <c r="D103" s="258"/>
      <c r="E103" s="258"/>
      <c r="F103" s="258"/>
      <c r="G103" s="261"/>
      <c r="H103" s="261"/>
      <c r="I103" s="261"/>
      <c r="J103" s="261"/>
      <c r="K103" s="261"/>
      <c r="L103" s="258"/>
      <c r="M103" s="258"/>
      <c r="N103" s="317"/>
      <c r="O103" s="258"/>
    </row>
    <row r="104" spans="2:16" s="172" customFormat="1">
      <c r="B104" s="217"/>
      <c r="C104" s="261"/>
      <c r="D104" s="261"/>
      <c r="E104" s="261"/>
      <c r="F104" s="261"/>
      <c r="G104" s="261"/>
      <c r="H104" s="261"/>
      <c r="I104" s="261"/>
      <c r="J104" s="261"/>
      <c r="K104" s="261"/>
      <c r="L104" s="258"/>
      <c r="M104" s="258"/>
      <c r="N104" s="317"/>
      <c r="O104" s="258"/>
    </row>
    <row r="105" spans="2:16" s="172" customFormat="1">
      <c r="B105" s="217"/>
      <c r="C105" s="144"/>
      <c r="D105" s="144"/>
      <c r="E105" s="144"/>
      <c r="F105" s="144"/>
      <c r="G105" s="144"/>
      <c r="H105" s="144"/>
      <c r="I105" s="144"/>
      <c r="J105" s="144"/>
      <c r="K105" s="144"/>
      <c r="L105" s="173"/>
      <c r="M105" s="173"/>
      <c r="N105" s="186"/>
      <c r="O105" s="173"/>
    </row>
    <row r="106" spans="2:16" s="172" customFormat="1">
      <c r="B106" s="64"/>
      <c r="C106" s="144"/>
      <c r="D106" s="144"/>
      <c r="E106" s="144"/>
      <c r="F106" s="144"/>
      <c r="G106" s="144"/>
      <c r="H106" s="144"/>
      <c r="I106" s="144"/>
      <c r="J106" s="144"/>
      <c r="K106" s="144"/>
      <c r="L106" s="173"/>
      <c r="M106" s="173"/>
      <c r="N106" s="317"/>
      <c r="O106" s="173"/>
    </row>
    <row r="107" spans="2:16">
      <c r="B107" s="179"/>
      <c r="C107" s="179"/>
      <c r="D107" s="179"/>
      <c r="E107" s="179"/>
      <c r="F107" s="179"/>
      <c r="G107" s="179"/>
      <c r="H107" s="179"/>
      <c r="I107" s="179"/>
      <c r="J107" s="179"/>
      <c r="K107" s="179"/>
      <c r="L107" s="179"/>
      <c r="M107" s="177"/>
      <c r="N107" s="318"/>
      <c r="O107" s="177"/>
      <c r="P107" s="179"/>
    </row>
    <row r="108" spans="2:16">
      <c r="B108" s="212" t="s">
        <v>149</v>
      </c>
      <c r="C108" s="213"/>
      <c r="D108" s="213"/>
      <c r="E108" s="213"/>
      <c r="F108" s="213"/>
      <c r="G108" s="213"/>
      <c r="H108" s="213"/>
      <c r="I108" s="213"/>
      <c r="J108" s="213"/>
      <c r="K108" s="214"/>
      <c r="L108" s="214"/>
      <c r="M108" s="200"/>
      <c r="N108" s="200"/>
      <c r="O108" s="201"/>
    </row>
    <row r="109" spans="2:16">
      <c r="B109" s="211"/>
      <c r="C109" s="215"/>
      <c r="D109" s="215"/>
      <c r="E109" s="215"/>
      <c r="F109" s="215"/>
      <c r="G109" s="215"/>
      <c r="H109" s="215"/>
      <c r="I109" s="215"/>
      <c r="J109" s="215"/>
      <c r="K109" s="215"/>
      <c r="L109" s="215"/>
      <c r="M109" s="268"/>
      <c r="N109" s="318"/>
      <c r="O109" s="270"/>
      <c r="P109" s="267"/>
    </row>
    <row r="110" spans="2:16">
      <c r="B110" s="211"/>
      <c r="C110" s="273" t="s">
        <v>0</v>
      </c>
      <c r="D110" s="273" t="s">
        <v>1</v>
      </c>
      <c r="E110" s="273" t="s">
        <v>2</v>
      </c>
      <c r="F110" s="273" t="s">
        <v>3</v>
      </c>
      <c r="G110" s="267" t="s">
        <v>4</v>
      </c>
      <c r="H110" s="267" t="s">
        <v>5</v>
      </c>
      <c r="I110" s="267" t="s">
        <v>6</v>
      </c>
      <c r="J110" s="267" t="s">
        <v>7</v>
      </c>
      <c r="K110" s="267" t="s">
        <v>8</v>
      </c>
      <c r="L110" s="267">
        <v>2011</v>
      </c>
      <c r="M110" s="267">
        <v>2012</v>
      </c>
      <c r="N110" s="155"/>
      <c r="O110" s="112"/>
      <c r="P110" s="267"/>
    </row>
    <row r="111" spans="2:16">
      <c r="B111" s="211" t="s">
        <v>102</v>
      </c>
      <c r="C111" s="279">
        <v>0</v>
      </c>
      <c r="D111" s="279">
        <v>46</v>
      </c>
      <c r="E111" s="279">
        <v>33</v>
      </c>
      <c r="F111" s="279">
        <v>15</v>
      </c>
      <c r="G111" s="279">
        <v>3</v>
      </c>
      <c r="H111" s="279">
        <v>1</v>
      </c>
      <c r="I111" s="279">
        <v>0</v>
      </c>
      <c r="J111" s="279">
        <v>4</v>
      </c>
      <c r="K111" s="279">
        <v>1</v>
      </c>
      <c r="L111" s="279">
        <v>0</v>
      </c>
      <c r="M111" s="267">
        <v>0</v>
      </c>
      <c r="N111" s="318"/>
      <c r="O111" s="270"/>
    </row>
    <row r="112" spans="2:16">
      <c r="B112" s="211" t="s">
        <v>98</v>
      </c>
      <c r="C112" s="279">
        <v>0</v>
      </c>
      <c r="D112" s="279">
        <v>667</v>
      </c>
      <c r="E112" s="279">
        <v>413</v>
      </c>
      <c r="F112" s="279">
        <v>308</v>
      </c>
      <c r="G112" s="279">
        <v>285</v>
      </c>
      <c r="H112" s="279">
        <v>283</v>
      </c>
      <c r="I112" s="279">
        <v>196</v>
      </c>
      <c r="J112" s="279">
        <v>171</v>
      </c>
      <c r="K112" s="279">
        <v>99</v>
      </c>
      <c r="L112" s="279">
        <v>52</v>
      </c>
      <c r="M112" s="267">
        <v>48</v>
      </c>
      <c r="N112" s="318"/>
      <c r="O112" s="270"/>
      <c r="P112" s="186"/>
    </row>
    <row r="113" spans="2:16">
      <c r="B113" s="211" t="s">
        <v>99</v>
      </c>
      <c r="C113" s="279">
        <v>0</v>
      </c>
      <c r="D113" s="279">
        <v>550</v>
      </c>
      <c r="E113" s="279">
        <v>354</v>
      </c>
      <c r="F113" s="279">
        <v>287</v>
      </c>
      <c r="G113" s="279">
        <v>324</v>
      </c>
      <c r="H113" s="279">
        <v>266</v>
      </c>
      <c r="I113" s="279">
        <v>267</v>
      </c>
      <c r="J113" s="279">
        <v>220</v>
      </c>
      <c r="K113" s="279">
        <v>78</v>
      </c>
      <c r="L113" s="279">
        <v>47</v>
      </c>
      <c r="M113" s="267">
        <v>40</v>
      </c>
      <c r="N113" s="318"/>
      <c r="O113" s="270"/>
      <c r="P113" s="186"/>
    </row>
    <row r="114" spans="2:16">
      <c r="B114" s="211" t="s">
        <v>83</v>
      </c>
      <c r="C114" s="279">
        <v>0</v>
      </c>
      <c r="D114" s="279">
        <v>846</v>
      </c>
      <c r="E114" s="279">
        <v>531</v>
      </c>
      <c r="F114" s="279">
        <v>429</v>
      </c>
      <c r="G114" s="279">
        <v>399</v>
      </c>
      <c r="H114" s="279">
        <v>364</v>
      </c>
      <c r="I114" s="279">
        <v>400</v>
      </c>
      <c r="J114" s="279">
        <v>303</v>
      </c>
      <c r="K114" s="279">
        <v>118</v>
      </c>
      <c r="L114" s="279">
        <v>71</v>
      </c>
      <c r="M114" s="267">
        <v>70</v>
      </c>
      <c r="N114" s="318"/>
      <c r="O114" s="270"/>
      <c r="P114" s="186"/>
    </row>
    <row r="115" spans="2:16">
      <c r="B115" s="211" t="s">
        <v>84</v>
      </c>
      <c r="C115" s="279">
        <v>0</v>
      </c>
      <c r="D115" s="279">
        <v>824</v>
      </c>
      <c r="E115" s="279">
        <v>509</v>
      </c>
      <c r="F115" s="279">
        <v>420</v>
      </c>
      <c r="G115" s="279">
        <v>386</v>
      </c>
      <c r="H115" s="279">
        <v>396</v>
      </c>
      <c r="I115" s="279">
        <v>396</v>
      </c>
      <c r="J115" s="279">
        <v>357</v>
      </c>
      <c r="K115" s="279">
        <v>132</v>
      </c>
      <c r="L115" s="279">
        <v>146</v>
      </c>
      <c r="M115" s="267">
        <v>132</v>
      </c>
      <c r="N115" s="318"/>
      <c r="O115" s="270"/>
      <c r="P115" s="186"/>
    </row>
    <row r="116" spans="2:16">
      <c r="B116" s="211" t="s">
        <v>85</v>
      </c>
      <c r="C116" s="279">
        <v>0</v>
      </c>
      <c r="D116" s="279">
        <v>737</v>
      </c>
      <c r="E116" s="279">
        <v>484</v>
      </c>
      <c r="F116" s="279">
        <v>399</v>
      </c>
      <c r="G116" s="279">
        <v>403</v>
      </c>
      <c r="H116" s="279">
        <v>359</v>
      </c>
      <c r="I116" s="279">
        <v>365</v>
      </c>
      <c r="J116" s="279">
        <v>339</v>
      </c>
      <c r="K116" s="279">
        <v>89</v>
      </c>
      <c r="L116" s="279">
        <v>173</v>
      </c>
      <c r="M116" s="267">
        <v>210</v>
      </c>
      <c r="N116" s="318"/>
      <c r="O116" s="270"/>
      <c r="P116" s="186"/>
    </row>
    <row r="117" spans="2:16">
      <c r="B117" s="211" t="s">
        <v>86</v>
      </c>
      <c r="C117" s="279">
        <v>0</v>
      </c>
      <c r="D117" s="279">
        <v>597</v>
      </c>
      <c r="E117" s="279">
        <v>398</v>
      </c>
      <c r="F117" s="279">
        <v>354</v>
      </c>
      <c r="G117" s="279">
        <v>290</v>
      </c>
      <c r="H117" s="279">
        <v>337</v>
      </c>
      <c r="I117" s="279">
        <v>323</v>
      </c>
      <c r="J117" s="279">
        <v>283</v>
      </c>
      <c r="K117" s="279">
        <v>85</v>
      </c>
      <c r="L117" s="279">
        <v>84</v>
      </c>
      <c r="M117" s="267">
        <v>101</v>
      </c>
      <c r="N117" s="318"/>
      <c r="O117" s="270"/>
      <c r="P117" s="186"/>
    </row>
    <row r="118" spans="2:16">
      <c r="B118" s="211" t="s">
        <v>87</v>
      </c>
      <c r="C118" s="279">
        <v>0</v>
      </c>
      <c r="D118" s="279">
        <v>520</v>
      </c>
      <c r="E118" s="279">
        <v>356</v>
      </c>
      <c r="F118" s="279">
        <v>323</v>
      </c>
      <c r="G118" s="279">
        <v>294</v>
      </c>
      <c r="H118" s="279">
        <v>260</v>
      </c>
      <c r="I118" s="279">
        <v>306</v>
      </c>
      <c r="J118" s="279">
        <v>251</v>
      </c>
      <c r="K118" s="279">
        <v>95</v>
      </c>
      <c r="L118" s="279">
        <v>79</v>
      </c>
      <c r="M118" s="267">
        <v>80</v>
      </c>
      <c r="N118" s="318"/>
      <c r="O118" s="270"/>
      <c r="P118" s="186"/>
    </row>
    <row r="119" spans="2:16">
      <c r="B119" s="211" t="s">
        <v>88</v>
      </c>
      <c r="C119" s="279">
        <v>0</v>
      </c>
      <c r="D119" s="279">
        <v>373</v>
      </c>
      <c r="E119" s="279">
        <v>279</v>
      </c>
      <c r="F119" s="279">
        <v>286</v>
      </c>
      <c r="G119" s="279">
        <v>226</v>
      </c>
      <c r="H119" s="279">
        <v>226</v>
      </c>
      <c r="I119" s="279">
        <v>237</v>
      </c>
      <c r="J119" s="279">
        <v>216</v>
      </c>
      <c r="K119" s="279">
        <v>64</v>
      </c>
      <c r="L119" s="279">
        <v>55</v>
      </c>
      <c r="M119" s="267">
        <v>44</v>
      </c>
      <c r="N119" s="318"/>
      <c r="O119" s="270"/>
      <c r="P119" s="186"/>
    </row>
    <row r="120" spans="2:16">
      <c r="B120" s="211" t="s">
        <v>89</v>
      </c>
      <c r="C120" s="279">
        <v>0</v>
      </c>
      <c r="D120" s="279">
        <v>283</v>
      </c>
      <c r="E120" s="279">
        <v>214</v>
      </c>
      <c r="F120" s="279">
        <v>181</v>
      </c>
      <c r="G120" s="279">
        <v>230</v>
      </c>
      <c r="H120" s="279">
        <v>192</v>
      </c>
      <c r="I120" s="279">
        <v>188</v>
      </c>
      <c r="J120" s="279">
        <v>171</v>
      </c>
      <c r="K120" s="279">
        <v>53</v>
      </c>
      <c r="L120" s="279">
        <v>64</v>
      </c>
      <c r="M120" s="267">
        <v>72</v>
      </c>
      <c r="N120" s="318"/>
      <c r="O120" s="270"/>
      <c r="P120" s="186"/>
    </row>
    <row r="121" spans="2:16">
      <c r="B121" s="211" t="s">
        <v>90</v>
      </c>
      <c r="C121" s="279">
        <v>0</v>
      </c>
      <c r="D121" s="279">
        <v>203</v>
      </c>
      <c r="E121" s="279">
        <v>155</v>
      </c>
      <c r="F121" s="279">
        <v>150</v>
      </c>
      <c r="G121" s="279">
        <v>154</v>
      </c>
      <c r="H121" s="279">
        <v>162</v>
      </c>
      <c r="I121" s="279">
        <v>147</v>
      </c>
      <c r="J121" s="279">
        <v>107</v>
      </c>
      <c r="K121" s="279">
        <v>49</v>
      </c>
      <c r="L121" s="279">
        <v>37</v>
      </c>
      <c r="M121" s="267">
        <v>30</v>
      </c>
      <c r="N121" s="318"/>
      <c r="O121" s="270"/>
      <c r="P121" s="186"/>
    </row>
    <row r="122" spans="2:16">
      <c r="B122" s="211" t="s">
        <v>91</v>
      </c>
      <c r="C122" s="279">
        <v>0</v>
      </c>
      <c r="D122" s="279">
        <v>126</v>
      </c>
      <c r="E122" s="279">
        <v>104</v>
      </c>
      <c r="F122" s="279">
        <v>98</v>
      </c>
      <c r="G122" s="279">
        <v>118</v>
      </c>
      <c r="H122" s="279">
        <v>134</v>
      </c>
      <c r="I122" s="279">
        <v>146</v>
      </c>
      <c r="J122" s="279">
        <v>138</v>
      </c>
      <c r="K122" s="279">
        <v>44</v>
      </c>
      <c r="L122" s="279">
        <v>32</v>
      </c>
      <c r="M122" s="267">
        <v>33</v>
      </c>
      <c r="N122" s="318"/>
      <c r="O122" s="270"/>
      <c r="P122" s="186"/>
    </row>
    <row r="123" spans="2:16">
      <c r="B123" s="211" t="s">
        <v>92</v>
      </c>
      <c r="C123" s="279">
        <v>0</v>
      </c>
      <c r="D123" s="279">
        <v>79</v>
      </c>
      <c r="E123" s="279">
        <v>68</v>
      </c>
      <c r="F123" s="279">
        <v>64</v>
      </c>
      <c r="G123" s="279">
        <v>81</v>
      </c>
      <c r="H123" s="279">
        <v>101</v>
      </c>
      <c r="I123" s="279">
        <v>110</v>
      </c>
      <c r="J123" s="279">
        <v>75</v>
      </c>
      <c r="K123" s="279">
        <v>43</v>
      </c>
      <c r="L123" s="279">
        <v>31</v>
      </c>
      <c r="M123" s="267">
        <v>33</v>
      </c>
      <c r="N123" s="318"/>
      <c r="O123" s="270"/>
      <c r="P123" s="186"/>
    </row>
    <row r="124" spans="2:16">
      <c r="B124" s="211" t="s">
        <v>95</v>
      </c>
      <c r="C124" s="279">
        <v>0</v>
      </c>
      <c r="D124" s="279">
        <v>78</v>
      </c>
      <c r="E124" s="279">
        <v>56</v>
      </c>
      <c r="F124" s="279">
        <v>49</v>
      </c>
      <c r="G124" s="279">
        <v>50</v>
      </c>
      <c r="H124" s="279">
        <v>53</v>
      </c>
      <c r="I124" s="279">
        <v>58</v>
      </c>
      <c r="J124" s="279">
        <v>50</v>
      </c>
      <c r="K124" s="279">
        <v>16</v>
      </c>
      <c r="L124" s="279">
        <v>23</v>
      </c>
      <c r="M124" s="267">
        <v>30</v>
      </c>
      <c r="N124" s="318"/>
      <c r="O124" s="270"/>
      <c r="P124" s="186"/>
    </row>
    <row r="125" spans="2:16">
      <c r="B125" s="211" t="s">
        <v>96</v>
      </c>
      <c r="C125" s="279">
        <v>0</v>
      </c>
      <c r="D125" s="279">
        <v>4</v>
      </c>
      <c r="E125" s="279">
        <v>3</v>
      </c>
      <c r="F125" s="279">
        <v>2</v>
      </c>
      <c r="G125" s="279">
        <v>2</v>
      </c>
      <c r="H125" s="279">
        <v>3</v>
      </c>
      <c r="I125" s="279">
        <v>3</v>
      </c>
      <c r="J125" s="279">
        <v>2</v>
      </c>
      <c r="K125" s="279">
        <v>1</v>
      </c>
      <c r="L125" s="279">
        <v>1</v>
      </c>
      <c r="M125" s="267">
        <v>1</v>
      </c>
      <c r="N125" s="318"/>
      <c r="O125" s="270"/>
      <c r="P125" s="186"/>
    </row>
    <row r="126" spans="2:16">
      <c r="B126" s="211" t="s">
        <v>93</v>
      </c>
      <c r="C126" s="279">
        <v>0</v>
      </c>
      <c r="D126" s="279">
        <v>1</v>
      </c>
      <c r="E126" s="279">
        <v>1</v>
      </c>
      <c r="F126" s="279">
        <v>1</v>
      </c>
      <c r="G126" s="279">
        <v>1</v>
      </c>
      <c r="H126" s="279">
        <v>1</v>
      </c>
      <c r="I126" s="279">
        <v>1</v>
      </c>
      <c r="J126" s="279">
        <v>1</v>
      </c>
      <c r="K126" s="279">
        <v>0</v>
      </c>
      <c r="L126" s="279">
        <v>0</v>
      </c>
      <c r="M126" s="267">
        <v>1</v>
      </c>
      <c r="N126" s="318"/>
      <c r="O126" s="270"/>
      <c r="P126" s="186"/>
    </row>
    <row r="127" spans="2:16">
      <c r="B127" s="211" t="s">
        <v>97</v>
      </c>
      <c r="C127" s="279">
        <v>0</v>
      </c>
      <c r="D127" s="279">
        <v>1</v>
      </c>
      <c r="E127" s="279">
        <v>1</v>
      </c>
      <c r="F127" s="279">
        <v>0</v>
      </c>
      <c r="G127" s="279">
        <v>0</v>
      </c>
      <c r="H127" s="279">
        <v>0</v>
      </c>
      <c r="I127" s="279">
        <v>1</v>
      </c>
      <c r="J127" s="279">
        <v>0</v>
      </c>
      <c r="K127" s="279">
        <v>0</v>
      </c>
      <c r="L127" s="279">
        <v>0</v>
      </c>
      <c r="M127" s="267">
        <v>0</v>
      </c>
      <c r="N127" s="318"/>
      <c r="O127" s="270"/>
      <c r="P127" s="246"/>
    </row>
    <row r="128" spans="2:16">
      <c r="B128" s="190" t="s">
        <v>136</v>
      </c>
      <c r="C128" s="279">
        <v>0</v>
      </c>
      <c r="D128" s="279">
        <v>25</v>
      </c>
      <c r="E128" s="279">
        <v>18</v>
      </c>
      <c r="F128" s="279">
        <v>15</v>
      </c>
      <c r="G128" s="279">
        <v>16</v>
      </c>
      <c r="H128" s="279">
        <v>17</v>
      </c>
      <c r="I128" s="279">
        <v>19</v>
      </c>
      <c r="J128" s="279">
        <v>16</v>
      </c>
      <c r="K128" s="279">
        <v>5</v>
      </c>
      <c r="L128" s="279">
        <v>7</v>
      </c>
      <c r="M128" s="267">
        <v>5</v>
      </c>
      <c r="N128" s="318"/>
      <c r="O128" s="270"/>
      <c r="P128" s="246"/>
    </row>
    <row r="129" spans="2:16">
      <c r="B129" s="216" t="s">
        <v>94</v>
      </c>
      <c r="C129" s="275"/>
      <c r="D129" s="275"/>
      <c r="E129" s="275"/>
      <c r="F129" s="275"/>
      <c r="G129" s="275"/>
      <c r="H129" s="275"/>
      <c r="I129" s="275"/>
      <c r="J129" s="275"/>
      <c r="K129" s="275"/>
      <c r="L129" s="275"/>
      <c r="M129" s="275"/>
      <c r="N129" s="320"/>
      <c r="O129" s="222"/>
      <c r="P129" s="186"/>
    </row>
    <row r="130" spans="2:16" s="172" customFormat="1">
      <c r="B130" s="217"/>
      <c r="C130" s="267"/>
      <c r="D130" s="267"/>
      <c r="E130" s="267"/>
      <c r="F130" s="267"/>
      <c r="G130" s="267"/>
      <c r="H130" s="267"/>
      <c r="I130" s="267"/>
      <c r="J130" s="267"/>
      <c r="K130" s="267"/>
      <c r="L130" s="267"/>
      <c r="M130" s="267"/>
      <c r="N130" s="317"/>
      <c r="O130" s="267"/>
      <c r="P130" s="240"/>
    </row>
    <row r="131" spans="2:16" s="172" customFormat="1">
      <c r="B131" s="217"/>
      <c r="C131" s="218"/>
      <c r="D131" s="267"/>
      <c r="E131" s="267"/>
      <c r="F131" s="267"/>
      <c r="G131" s="267"/>
      <c r="H131" s="267"/>
      <c r="I131" s="267"/>
      <c r="J131" s="267"/>
      <c r="K131" s="267"/>
      <c r="L131" s="267"/>
      <c r="M131" s="267"/>
      <c r="N131" s="317"/>
      <c r="O131" s="267"/>
    </row>
    <row r="132" spans="2:16" s="172" customFormat="1">
      <c r="B132" s="64"/>
      <c r="C132" s="218"/>
      <c r="D132" s="267"/>
      <c r="E132" s="267"/>
      <c r="F132" s="267"/>
      <c r="G132" s="218"/>
      <c r="H132" s="267"/>
      <c r="I132" s="267"/>
      <c r="J132" s="267"/>
      <c r="K132" s="267"/>
      <c r="L132" s="267"/>
      <c r="M132" s="267"/>
      <c r="N132" s="317"/>
      <c r="O132" s="267"/>
    </row>
    <row r="133" spans="2:16" s="172" customFormat="1">
      <c r="C133" s="218"/>
      <c r="D133" s="267"/>
      <c r="E133" s="267"/>
      <c r="F133" s="267"/>
      <c r="G133" s="218"/>
      <c r="H133" s="267"/>
      <c r="I133" s="267"/>
      <c r="J133" s="267"/>
      <c r="K133" s="267"/>
      <c r="L133" s="267"/>
      <c r="M133" s="267"/>
      <c r="N133" s="317"/>
      <c r="O133" s="267"/>
    </row>
    <row r="134" spans="2:16" s="172" customFormat="1">
      <c r="B134" s="217"/>
      <c r="C134" s="218"/>
      <c r="D134" s="173"/>
      <c r="E134" s="173"/>
      <c r="F134" s="173"/>
      <c r="G134" s="218"/>
      <c r="H134" s="173"/>
      <c r="I134" s="173"/>
      <c r="J134" s="173"/>
      <c r="K134" s="173"/>
      <c r="L134" s="173"/>
      <c r="M134" s="173"/>
      <c r="N134" s="317"/>
      <c r="O134" s="173"/>
    </row>
    <row r="135" spans="2:16">
      <c r="B135" s="179"/>
      <c r="C135" s="179"/>
      <c r="D135" s="179"/>
      <c r="E135" s="179"/>
      <c r="F135" s="179"/>
      <c r="G135" s="179"/>
      <c r="H135" s="179"/>
      <c r="I135" s="179"/>
      <c r="J135" s="179"/>
      <c r="K135" s="179"/>
      <c r="L135" s="179"/>
      <c r="M135" s="177"/>
      <c r="N135" s="318"/>
      <c r="O135" s="177"/>
      <c r="P135" s="179"/>
    </row>
    <row r="136" spans="2:16">
      <c r="B136" s="219" t="s">
        <v>150</v>
      </c>
      <c r="C136" s="214"/>
      <c r="D136" s="214"/>
      <c r="E136" s="214"/>
      <c r="F136" s="214"/>
      <c r="G136" s="214"/>
      <c r="H136" s="214"/>
      <c r="I136" s="214"/>
      <c r="J136" s="214"/>
      <c r="K136" s="214"/>
      <c r="L136" s="214"/>
      <c r="M136" s="200"/>
      <c r="N136" s="200"/>
      <c r="O136" s="201"/>
      <c r="P136" s="272"/>
    </row>
    <row r="137" spans="2:16">
      <c r="B137" s="211"/>
      <c r="C137" s="215"/>
      <c r="D137" s="215"/>
      <c r="E137" s="215"/>
      <c r="F137" s="215"/>
      <c r="G137" s="215"/>
      <c r="H137" s="215"/>
      <c r="I137" s="215"/>
      <c r="J137" s="215"/>
      <c r="K137" s="215"/>
      <c r="L137" s="215"/>
      <c r="M137" s="274"/>
      <c r="N137" s="318"/>
      <c r="O137" s="277"/>
      <c r="P137" s="274"/>
    </row>
    <row r="138" spans="2:16">
      <c r="B138" s="211"/>
      <c r="C138" s="280" t="s">
        <v>0</v>
      </c>
      <c r="D138" s="280" t="s">
        <v>1</v>
      </c>
      <c r="E138" s="280" t="s">
        <v>2</v>
      </c>
      <c r="F138" s="280" t="s">
        <v>3</v>
      </c>
      <c r="G138" s="273" t="s">
        <v>4</v>
      </c>
      <c r="H138" s="273" t="s">
        <v>5</v>
      </c>
      <c r="I138" s="273" t="s">
        <v>6</v>
      </c>
      <c r="J138" s="273" t="s">
        <v>7</v>
      </c>
      <c r="K138" s="273" t="s">
        <v>8</v>
      </c>
      <c r="L138" s="273">
        <v>2011</v>
      </c>
      <c r="M138" s="273">
        <v>2012</v>
      </c>
      <c r="N138" s="155"/>
      <c r="O138" s="112"/>
      <c r="P138" s="273"/>
    </row>
    <row r="139" spans="2:16">
      <c r="B139" s="211" t="s">
        <v>102</v>
      </c>
      <c r="C139" s="282">
        <v>0</v>
      </c>
      <c r="D139" s="282">
        <v>26</v>
      </c>
      <c r="E139" s="282">
        <v>40</v>
      </c>
      <c r="F139" s="282">
        <v>45</v>
      </c>
      <c r="G139" s="282">
        <v>32</v>
      </c>
      <c r="H139" s="282">
        <v>19</v>
      </c>
      <c r="I139" s="282">
        <v>17</v>
      </c>
      <c r="J139" s="282">
        <v>12</v>
      </c>
      <c r="K139" s="282">
        <v>17</v>
      </c>
      <c r="L139" s="282">
        <v>4</v>
      </c>
      <c r="M139" s="273">
        <v>8</v>
      </c>
      <c r="N139" s="318"/>
      <c r="O139" s="277"/>
    </row>
    <row r="140" spans="2:16">
      <c r="B140" s="211" t="s">
        <v>98</v>
      </c>
      <c r="C140" s="282">
        <v>0</v>
      </c>
      <c r="D140" s="282">
        <v>1028</v>
      </c>
      <c r="E140" s="282">
        <v>1481</v>
      </c>
      <c r="F140" s="282">
        <v>1697</v>
      </c>
      <c r="G140" s="282">
        <v>2236</v>
      </c>
      <c r="H140" s="282">
        <v>2338</v>
      </c>
      <c r="I140" s="282">
        <v>2174</v>
      </c>
      <c r="J140" s="282">
        <v>1854</v>
      </c>
      <c r="K140" s="282">
        <v>2026</v>
      </c>
      <c r="L140" s="282">
        <v>1150</v>
      </c>
      <c r="M140" s="273">
        <v>1251</v>
      </c>
      <c r="N140" s="318"/>
      <c r="O140" s="277"/>
      <c r="P140" s="186"/>
    </row>
    <row r="141" spans="2:16">
      <c r="B141" s="211" t="s">
        <v>99</v>
      </c>
      <c r="C141" s="282">
        <v>0</v>
      </c>
      <c r="D141" s="282">
        <v>580</v>
      </c>
      <c r="E141" s="282">
        <v>909</v>
      </c>
      <c r="F141" s="282">
        <v>1000</v>
      </c>
      <c r="G141" s="282">
        <v>1250</v>
      </c>
      <c r="H141" s="282">
        <v>1350</v>
      </c>
      <c r="I141" s="282">
        <v>1389</v>
      </c>
      <c r="J141" s="282">
        <v>1256</v>
      </c>
      <c r="K141" s="282">
        <v>1353</v>
      </c>
      <c r="L141" s="282">
        <v>851</v>
      </c>
      <c r="M141" s="273">
        <v>900</v>
      </c>
      <c r="N141" s="318"/>
      <c r="O141" s="277"/>
      <c r="P141" s="186"/>
    </row>
    <row r="142" spans="2:16">
      <c r="B142" s="211" t="s">
        <v>83</v>
      </c>
      <c r="C142" s="282">
        <v>0</v>
      </c>
      <c r="D142" s="282">
        <v>1357</v>
      </c>
      <c r="E142" s="282">
        <v>1871</v>
      </c>
      <c r="F142" s="282">
        <v>2034</v>
      </c>
      <c r="G142" s="282">
        <v>2529</v>
      </c>
      <c r="H142" s="282">
        <v>2564</v>
      </c>
      <c r="I142" s="282">
        <v>2557</v>
      </c>
      <c r="J142" s="282">
        <v>2375</v>
      </c>
      <c r="K142" s="282">
        <v>2465</v>
      </c>
      <c r="L142" s="282">
        <v>1463</v>
      </c>
      <c r="M142" s="273">
        <v>1581</v>
      </c>
      <c r="N142" s="318"/>
      <c r="O142" s="277"/>
      <c r="P142" s="186"/>
    </row>
    <row r="143" spans="2:16">
      <c r="B143" s="211" t="s">
        <v>84</v>
      </c>
      <c r="C143" s="282">
        <v>0</v>
      </c>
      <c r="D143" s="282">
        <v>1256</v>
      </c>
      <c r="E143" s="282">
        <v>1773</v>
      </c>
      <c r="F143" s="282">
        <v>1815</v>
      </c>
      <c r="G143" s="282">
        <v>2500</v>
      </c>
      <c r="H143" s="282">
        <v>2431</v>
      </c>
      <c r="I143" s="282">
        <v>2321</v>
      </c>
      <c r="J143" s="282">
        <v>2287</v>
      </c>
      <c r="K143" s="282">
        <v>2435</v>
      </c>
      <c r="L143" s="282">
        <v>2157</v>
      </c>
      <c r="M143" s="273">
        <v>2200</v>
      </c>
      <c r="N143" s="318"/>
      <c r="O143" s="277"/>
      <c r="P143" s="186"/>
    </row>
    <row r="144" spans="2:16">
      <c r="B144" s="211" t="s">
        <v>85</v>
      </c>
      <c r="C144" s="282">
        <v>0</v>
      </c>
      <c r="D144" s="282">
        <v>1208</v>
      </c>
      <c r="E144" s="282">
        <v>1614</v>
      </c>
      <c r="F144" s="282">
        <v>1678</v>
      </c>
      <c r="G144" s="282">
        <v>2218</v>
      </c>
      <c r="H144" s="282">
        <v>2250</v>
      </c>
      <c r="I144" s="282">
        <v>2251</v>
      </c>
      <c r="J144" s="282">
        <v>1986</v>
      </c>
      <c r="K144" s="282">
        <v>2212</v>
      </c>
      <c r="L144" s="282">
        <v>1948</v>
      </c>
      <c r="M144" s="273">
        <v>1902</v>
      </c>
      <c r="N144" s="318"/>
      <c r="O144" s="277"/>
      <c r="P144" s="186"/>
    </row>
    <row r="145" spans="2:16">
      <c r="B145" s="211" t="s">
        <v>86</v>
      </c>
      <c r="C145" s="282">
        <v>0</v>
      </c>
      <c r="D145" s="282">
        <v>997</v>
      </c>
      <c r="E145" s="282">
        <v>1379</v>
      </c>
      <c r="F145" s="282">
        <v>1392</v>
      </c>
      <c r="G145" s="282">
        <v>1774</v>
      </c>
      <c r="H145" s="282">
        <v>1731</v>
      </c>
      <c r="I145" s="282">
        <v>1868</v>
      </c>
      <c r="J145" s="282">
        <v>1699</v>
      </c>
      <c r="K145" s="282">
        <v>1760</v>
      </c>
      <c r="L145" s="282">
        <v>1611</v>
      </c>
      <c r="M145" s="273">
        <v>1617</v>
      </c>
      <c r="N145" s="318"/>
      <c r="O145" s="277"/>
      <c r="P145" s="186"/>
    </row>
    <row r="146" spans="2:16">
      <c r="B146" s="211" t="s">
        <v>87</v>
      </c>
      <c r="C146" s="282">
        <v>0</v>
      </c>
      <c r="D146" s="282">
        <v>822</v>
      </c>
      <c r="E146" s="282">
        <v>1111</v>
      </c>
      <c r="F146" s="282">
        <v>1272</v>
      </c>
      <c r="G146" s="282">
        <v>1528</v>
      </c>
      <c r="H146" s="282">
        <v>1556</v>
      </c>
      <c r="I146" s="282">
        <v>1393</v>
      </c>
      <c r="J146" s="282">
        <v>1420</v>
      </c>
      <c r="K146" s="282">
        <v>1400</v>
      </c>
      <c r="L146" s="282">
        <v>1237</v>
      </c>
      <c r="M146" s="273">
        <v>1220</v>
      </c>
      <c r="N146" s="318"/>
      <c r="O146" s="277"/>
      <c r="P146" s="186"/>
    </row>
    <row r="147" spans="2:16">
      <c r="B147" s="211" t="s">
        <v>88</v>
      </c>
      <c r="C147" s="282">
        <v>0</v>
      </c>
      <c r="D147" s="282">
        <v>682</v>
      </c>
      <c r="E147" s="282">
        <v>912</v>
      </c>
      <c r="F147" s="282">
        <v>1073</v>
      </c>
      <c r="G147" s="282">
        <v>1327</v>
      </c>
      <c r="H147" s="282">
        <v>192</v>
      </c>
      <c r="I147" s="282">
        <v>1127</v>
      </c>
      <c r="J147" s="282">
        <v>1003</v>
      </c>
      <c r="K147" s="282">
        <v>1075</v>
      </c>
      <c r="L147" s="282">
        <v>868</v>
      </c>
      <c r="M147" s="273">
        <v>910</v>
      </c>
      <c r="N147" s="318"/>
      <c r="O147" s="277"/>
      <c r="P147" s="186"/>
    </row>
    <row r="148" spans="2:16">
      <c r="B148" s="211" t="s">
        <v>89</v>
      </c>
      <c r="C148" s="282">
        <v>0</v>
      </c>
      <c r="D148" s="282">
        <v>466</v>
      </c>
      <c r="E148" s="282">
        <v>678</v>
      </c>
      <c r="F148" s="282">
        <v>884</v>
      </c>
      <c r="G148" s="282">
        <v>1125</v>
      </c>
      <c r="H148" s="282">
        <v>1215</v>
      </c>
      <c r="I148" s="282">
        <v>970</v>
      </c>
      <c r="J148" s="282">
        <v>812</v>
      </c>
      <c r="K148" s="282">
        <v>774</v>
      </c>
      <c r="L148" s="282">
        <v>666</v>
      </c>
      <c r="M148" s="273">
        <v>650</v>
      </c>
      <c r="N148" s="318"/>
      <c r="O148" s="277"/>
      <c r="P148" s="186"/>
    </row>
    <row r="149" spans="2:16">
      <c r="B149" s="211" t="s">
        <v>90</v>
      </c>
      <c r="C149" s="282">
        <v>0</v>
      </c>
      <c r="D149" s="282">
        <v>366</v>
      </c>
      <c r="E149" s="282">
        <v>511</v>
      </c>
      <c r="F149" s="282">
        <v>632</v>
      </c>
      <c r="G149" s="282">
        <v>787</v>
      </c>
      <c r="H149" s="282">
        <v>817</v>
      </c>
      <c r="I149" s="282">
        <v>740</v>
      </c>
      <c r="J149" s="282">
        <v>635</v>
      </c>
      <c r="K149" s="282">
        <v>578</v>
      </c>
      <c r="L149" s="282">
        <v>495</v>
      </c>
      <c r="M149" s="273">
        <v>450</v>
      </c>
      <c r="N149" s="318"/>
      <c r="O149" s="277"/>
      <c r="P149" s="186"/>
    </row>
    <row r="150" spans="2:16">
      <c r="B150" s="211" t="s">
        <v>91</v>
      </c>
      <c r="C150" s="282">
        <v>0</v>
      </c>
      <c r="D150" s="282">
        <v>223</v>
      </c>
      <c r="E150" s="282">
        <v>329</v>
      </c>
      <c r="F150" s="282">
        <v>371</v>
      </c>
      <c r="G150" s="282">
        <v>607</v>
      </c>
      <c r="H150" s="282">
        <v>688</v>
      </c>
      <c r="I150" s="282">
        <v>619</v>
      </c>
      <c r="J150" s="282">
        <v>520</v>
      </c>
      <c r="K150" s="282">
        <v>465</v>
      </c>
      <c r="L150" s="282">
        <v>332</v>
      </c>
      <c r="M150" s="273">
        <v>330</v>
      </c>
      <c r="N150" s="318"/>
      <c r="O150" s="277"/>
      <c r="P150" s="186"/>
    </row>
    <row r="151" spans="2:16">
      <c r="B151" s="211" t="s">
        <v>92</v>
      </c>
      <c r="C151" s="282">
        <v>0</v>
      </c>
      <c r="D151" s="282">
        <v>149</v>
      </c>
      <c r="E151" s="282">
        <v>227</v>
      </c>
      <c r="F151" s="282">
        <v>293</v>
      </c>
      <c r="G151" s="282">
        <v>445</v>
      </c>
      <c r="H151" s="282">
        <v>555</v>
      </c>
      <c r="I151" s="282">
        <v>533</v>
      </c>
      <c r="J151" s="282">
        <v>447</v>
      </c>
      <c r="K151" s="282">
        <v>388</v>
      </c>
      <c r="L151" s="282">
        <v>260</v>
      </c>
      <c r="M151" s="273">
        <v>261</v>
      </c>
      <c r="N151" s="318"/>
      <c r="O151" s="277"/>
      <c r="P151" s="186"/>
    </row>
    <row r="152" spans="2:16">
      <c r="B152" s="211" t="s">
        <v>95</v>
      </c>
      <c r="C152" s="282">
        <v>0</v>
      </c>
      <c r="D152" s="282">
        <v>70</v>
      </c>
      <c r="E152" s="282">
        <v>97</v>
      </c>
      <c r="F152" s="282">
        <v>94</v>
      </c>
      <c r="G152" s="282">
        <v>140</v>
      </c>
      <c r="H152" s="282">
        <v>179</v>
      </c>
      <c r="I152" s="282">
        <v>191</v>
      </c>
      <c r="J152" s="282">
        <v>190</v>
      </c>
      <c r="K152" s="282">
        <v>207</v>
      </c>
      <c r="L152" s="282">
        <v>188</v>
      </c>
      <c r="M152" s="273">
        <v>190</v>
      </c>
      <c r="N152" s="318"/>
      <c r="O152" s="277"/>
      <c r="P152" s="186"/>
    </row>
    <row r="153" spans="2:16">
      <c r="B153" s="211" t="s">
        <v>96</v>
      </c>
      <c r="C153" s="282">
        <v>0</v>
      </c>
      <c r="D153" s="282">
        <v>51</v>
      </c>
      <c r="E153" s="282">
        <v>70</v>
      </c>
      <c r="F153" s="282">
        <v>68</v>
      </c>
      <c r="G153" s="282">
        <v>101</v>
      </c>
      <c r="H153" s="282">
        <v>129</v>
      </c>
      <c r="I153" s="282">
        <v>138</v>
      </c>
      <c r="J153" s="282">
        <v>137</v>
      </c>
      <c r="K153" s="282">
        <v>149</v>
      </c>
      <c r="L153" s="282">
        <v>136</v>
      </c>
      <c r="M153" s="273">
        <v>140</v>
      </c>
      <c r="N153" s="318"/>
      <c r="O153" s="277"/>
      <c r="P153" s="186"/>
    </row>
    <row r="154" spans="2:16">
      <c r="B154" s="211" t="s">
        <v>93</v>
      </c>
      <c r="C154" s="282">
        <v>0</v>
      </c>
      <c r="D154" s="282">
        <v>33</v>
      </c>
      <c r="E154" s="282">
        <v>45</v>
      </c>
      <c r="F154" s="282">
        <v>44</v>
      </c>
      <c r="G154" s="282">
        <v>65</v>
      </c>
      <c r="H154" s="282">
        <v>83</v>
      </c>
      <c r="I154" s="282">
        <v>89</v>
      </c>
      <c r="J154" s="282">
        <v>89</v>
      </c>
      <c r="K154" s="282">
        <v>96</v>
      </c>
      <c r="L154" s="282">
        <v>87</v>
      </c>
      <c r="M154" s="273">
        <v>88</v>
      </c>
      <c r="N154" s="318"/>
      <c r="O154" s="277"/>
      <c r="P154" s="186"/>
    </row>
    <row r="155" spans="2:16">
      <c r="B155" s="211" t="s">
        <v>97</v>
      </c>
      <c r="C155" s="282">
        <v>0</v>
      </c>
      <c r="D155" s="282">
        <v>18</v>
      </c>
      <c r="E155" s="282">
        <v>25</v>
      </c>
      <c r="F155" s="282">
        <v>24</v>
      </c>
      <c r="G155" s="282">
        <v>36</v>
      </c>
      <c r="H155" s="282">
        <v>46</v>
      </c>
      <c r="I155" s="282">
        <v>49</v>
      </c>
      <c r="J155" s="282">
        <v>49</v>
      </c>
      <c r="K155" s="282">
        <v>53</v>
      </c>
      <c r="L155" s="282">
        <v>48</v>
      </c>
      <c r="M155" s="273">
        <v>47</v>
      </c>
      <c r="N155" s="318"/>
      <c r="O155" s="277"/>
      <c r="P155" s="246"/>
    </row>
    <row r="156" spans="2:16">
      <c r="B156" s="190" t="s">
        <v>136</v>
      </c>
      <c r="C156" s="282">
        <v>0</v>
      </c>
      <c r="D156" s="282">
        <v>25</v>
      </c>
      <c r="E156" s="282">
        <v>35</v>
      </c>
      <c r="F156" s="282">
        <v>34</v>
      </c>
      <c r="G156" s="282">
        <v>50</v>
      </c>
      <c r="H156" s="282">
        <v>64</v>
      </c>
      <c r="I156" s="282">
        <v>69</v>
      </c>
      <c r="J156" s="282">
        <v>69</v>
      </c>
      <c r="K156" s="282">
        <v>74</v>
      </c>
      <c r="L156" s="282">
        <v>68</v>
      </c>
      <c r="M156" s="273">
        <v>69</v>
      </c>
      <c r="N156" s="318"/>
      <c r="O156" s="277"/>
      <c r="P156" s="246"/>
    </row>
    <row r="157" spans="2:16">
      <c r="B157" s="239" t="s">
        <v>94</v>
      </c>
      <c r="C157" s="281"/>
      <c r="D157" s="281"/>
      <c r="E157" s="281"/>
      <c r="F157" s="281"/>
      <c r="G157" s="275"/>
      <c r="H157" s="275"/>
      <c r="I157" s="275"/>
      <c r="J157" s="275"/>
      <c r="K157" s="275"/>
      <c r="L157" s="275"/>
      <c r="M157" s="275"/>
      <c r="N157" s="319"/>
      <c r="O157" s="278"/>
      <c r="P157" s="186"/>
    </row>
    <row r="158" spans="2:16" s="172" customFormat="1">
      <c r="B158" s="217"/>
      <c r="C158" s="273"/>
      <c r="D158" s="273"/>
      <c r="E158" s="273"/>
      <c r="F158" s="273"/>
      <c r="G158" s="276"/>
      <c r="H158" s="276"/>
      <c r="I158" s="276"/>
      <c r="J158" s="276"/>
      <c r="K158" s="276"/>
      <c r="L158" s="273"/>
      <c r="M158" s="273"/>
      <c r="N158" s="317"/>
      <c r="O158" s="273"/>
    </row>
    <row r="159" spans="2:16" s="172" customFormat="1">
      <c r="B159" s="217"/>
      <c r="C159" s="276"/>
      <c r="D159" s="276"/>
      <c r="E159" s="276"/>
      <c r="F159" s="276"/>
      <c r="G159" s="276"/>
      <c r="H159" s="276"/>
      <c r="I159" s="276"/>
      <c r="J159" s="276"/>
      <c r="K159" s="276"/>
      <c r="L159" s="273"/>
      <c r="M159" s="273"/>
      <c r="N159" s="317"/>
      <c r="O159" s="273"/>
    </row>
    <row r="160" spans="2:16" s="172" customFormat="1">
      <c r="B160" s="64"/>
      <c r="C160" s="218"/>
      <c r="D160" s="173"/>
      <c r="E160" s="173"/>
      <c r="F160" s="173"/>
      <c r="G160" s="218"/>
      <c r="H160" s="173"/>
      <c r="I160" s="173"/>
      <c r="J160" s="173"/>
      <c r="K160" s="173"/>
      <c r="L160" s="173"/>
      <c r="M160" s="173"/>
      <c r="N160" s="317"/>
      <c r="O160" s="173"/>
    </row>
    <row r="161" spans="2:16" s="172" customFormat="1">
      <c r="B161" s="179"/>
      <c r="C161" s="218"/>
      <c r="D161" s="173"/>
      <c r="E161" s="173"/>
      <c r="F161" s="173"/>
      <c r="G161" s="218"/>
      <c r="H161" s="173"/>
      <c r="I161" s="173"/>
      <c r="J161" s="173"/>
      <c r="K161" s="173"/>
      <c r="L161" s="173"/>
      <c r="M161" s="173"/>
      <c r="N161" s="317"/>
      <c r="O161" s="173"/>
    </row>
    <row r="162" spans="2:16">
      <c r="B162" s="219" t="s">
        <v>151</v>
      </c>
      <c r="C162" s="214"/>
      <c r="D162" s="214"/>
      <c r="E162" s="214"/>
      <c r="F162" s="214"/>
      <c r="G162" s="214"/>
      <c r="H162" s="214"/>
      <c r="I162" s="214"/>
      <c r="J162" s="214"/>
      <c r="K162" s="214"/>
      <c r="L162" s="214"/>
      <c r="M162" s="200"/>
      <c r="N162" s="200"/>
      <c r="O162" s="201"/>
      <c r="P162" s="177"/>
    </row>
    <row r="163" spans="2:16">
      <c r="B163" s="220"/>
      <c r="C163" s="221"/>
      <c r="D163" s="221"/>
      <c r="E163" s="221"/>
      <c r="F163" s="221"/>
      <c r="G163" s="221"/>
      <c r="H163" s="221"/>
      <c r="I163" s="221"/>
      <c r="J163" s="221"/>
      <c r="K163" s="221"/>
      <c r="L163" s="221"/>
      <c r="M163" s="284"/>
      <c r="N163" s="318"/>
      <c r="O163" s="287"/>
      <c r="P163" s="177"/>
    </row>
    <row r="164" spans="2:16">
      <c r="B164" s="220"/>
      <c r="C164" s="283" t="s">
        <v>0</v>
      </c>
      <c r="D164" s="283" t="s">
        <v>1</v>
      </c>
      <c r="E164" s="283" t="s">
        <v>2</v>
      </c>
      <c r="F164" s="283" t="s">
        <v>3</v>
      </c>
      <c r="G164" s="283" t="s">
        <v>4</v>
      </c>
      <c r="H164" s="283" t="s">
        <v>5</v>
      </c>
      <c r="I164" s="283" t="s">
        <v>6</v>
      </c>
      <c r="J164" s="283" t="s">
        <v>7</v>
      </c>
      <c r="K164" s="283" t="s">
        <v>8</v>
      </c>
      <c r="L164" s="283">
        <v>2011</v>
      </c>
      <c r="M164" s="283">
        <v>2012</v>
      </c>
      <c r="N164" s="155"/>
      <c r="O164" s="112"/>
      <c r="P164" s="177"/>
    </row>
    <row r="165" spans="2:16">
      <c r="B165" s="211" t="s">
        <v>102</v>
      </c>
      <c r="C165" s="289">
        <v>0</v>
      </c>
      <c r="D165" s="289">
        <v>8</v>
      </c>
      <c r="E165" s="289">
        <v>7</v>
      </c>
      <c r="F165" s="289">
        <v>4</v>
      </c>
      <c r="G165" s="289">
        <v>4</v>
      </c>
      <c r="H165" s="289">
        <v>5</v>
      </c>
      <c r="I165" s="289">
        <v>5</v>
      </c>
      <c r="J165" s="289">
        <v>2</v>
      </c>
      <c r="K165" s="289">
        <v>2</v>
      </c>
      <c r="L165" s="289">
        <v>4</v>
      </c>
      <c r="M165" s="283">
        <v>2</v>
      </c>
      <c r="N165" s="318"/>
      <c r="O165" s="287"/>
      <c r="P165" s="177"/>
    </row>
    <row r="166" spans="2:16">
      <c r="B166" s="220" t="s">
        <v>98</v>
      </c>
      <c r="C166" s="289">
        <v>0</v>
      </c>
      <c r="D166" s="289">
        <v>1</v>
      </c>
      <c r="E166" s="289">
        <v>1</v>
      </c>
      <c r="F166" s="289">
        <v>1</v>
      </c>
      <c r="G166" s="289">
        <v>0</v>
      </c>
      <c r="H166" s="289">
        <v>1</v>
      </c>
      <c r="I166" s="289">
        <v>1</v>
      </c>
      <c r="J166" s="289">
        <v>0</v>
      </c>
      <c r="K166" s="289">
        <v>0</v>
      </c>
      <c r="L166" s="289">
        <v>0</v>
      </c>
      <c r="M166" s="283">
        <v>0</v>
      </c>
      <c r="N166" s="318"/>
      <c r="O166" s="287"/>
      <c r="P166" s="177"/>
    </row>
    <row r="167" spans="2:16">
      <c r="B167" s="220" t="s">
        <v>99</v>
      </c>
      <c r="C167" s="289">
        <v>0</v>
      </c>
      <c r="D167" s="289">
        <v>2</v>
      </c>
      <c r="E167" s="289">
        <v>1</v>
      </c>
      <c r="F167" s="289">
        <v>1</v>
      </c>
      <c r="G167" s="289">
        <v>0</v>
      </c>
      <c r="H167" s="289">
        <v>1</v>
      </c>
      <c r="I167" s="289">
        <v>0</v>
      </c>
      <c r="J167" s="289">
        <v>0</v>
      </c>
      <c r="K167" s="289">
        <v>0</v>
      </c>
      <c r="L167" s="289">
        <v>0</v>
      </c>
      <c r="M167" s="283">
        <v>0</v>
      </c>
      <c r="N167" s="318"/>
      <c r="O167" s="287"/>
      <c r="P167" s="177"/>
    </row>
    <row r="168" spans="2:16">
      <c r="B168" s="220" t="s">
        <v>83</v>
      </c>
      <c r="C168" s="289">
        <v>0</v>
      </c>
      <c r="D168" s="289">
        <v>3</v>
      </c>
      <c r="E168" s="289">
        <v>1</v>
      </c>
      <c r="F168" s="289">
        <v>1</v>
      </c>
      <c r="G168" s="289">
        <v>2</v>
      </c>
      <c r="H168" s="289">
        <v>2</v>
      </c>
      <c r="I168" s="289">
        <v>0</v>
      </c>
      <c r="J168" s="289">
        <v>1</v>
      </c>
      <c r="K168" s="289">
        <v>1</v>
      </c>
      <c r="L168" s="289">
        <v>0</v>
      </c>
      <c r="M168" s="283">
        <v>0</v>
      </c>
      <c r="N168" s="318"/>
      <c r="O168" s="287"/>
      <c r="P168" s="177"/>
    </row>
    <row r="169" spans="2:16">
      <c r="B169" s="220" t="s">
        <v>84</v>
      </c>
      <c r="C169" s="289">
        <v>0</v>
      </c>
      <c r="D169" s="289">
        <v>4</v>
      </c>
      <c r="E169" s="289">
        <v>4</v>
      </c>
      <c r="F169" s="289">
        <v>3</v>
      </c>
      <c r="G169" s="289">
        <v>1</v>
      </c>
      <c r="H169" s="289">
        <v>3</v>
      </c>
      <c r="I169" s="289">
        <v>1</v>
      </c>
      <c r="J169" s="289">
        <v>1</v>
      </c>
      <c r="K169" s="289">
        <v>1</v>
      </c>
      <c r="L169" s="289">
        <v>1</v>
      </c>
      <c r="M169" s="283">
        <v>1</v>
      </c>
      <c r="N169" s="318"/>
      <c r="O169" s="287"/>
      <c r="P169" s="177"/>
    </row>
    <row r="170" spans="2:16">
      <c r="B170" s="220" t="s">
        <v>85</v>
      </c>
      <c r="C170" s="289">
        <v>0</v>
      </c>
      <c r="D170" s="289">
        <v>3</v>
      </c>
      <c r="E170" s="289">
        <v>2</v>
      </c>
      <c r="F170" s="289">
        <v>2</v>
      </c>
      <c r="G170" s="289">
        <v>1</v>
      </c>
      <c r="H170" s="289">
        <v>3</v>
      </c>
      <c r="I170" s="289">
        <v>1</v>
      </c>
      <c r="J170" s="289">
        <v>2</v>
      </c>
      <c r="K170" s="289">
        <v>1</v>
      </c>
      <c r="L170" s="289">
        <v>1</v>
      </c>
      <c r="M170" s="283">
        <v>0</v>
      </c>
      <c r="N170" s="318"/>
      <c r="O170" s="287"/>
      <c r="P170" s="177"/>
    </row>
    <row r="171" spans="2:16">
      <c r="B171" s="220" t="s">
        <v>86</v>
      </c>
      <c r="C171" s="289">
        <v>0</v>
      </c>
      <c r="D171" s="289">
        <v>5</v>
      </c>
      <c r="E171" s="289">
        <v>4</v>
      </c>
      <c r="F171" s="289">
        <v>3</v>
      </c>
      <c r="G171" s="289">
        <v>0</v>
      </c>
      <c r="H171" s="289">
        <v>8</v>
      </c>
      <c r="I171" s="289">
        <v>1</v>
      </c>
      <c r="J171" s="289">
        <v>0</v>
      </c>
      <c r="K171" s="289">
        <v>0</v>
      </c>
      <c r="L171" s="289">
        <v>0</v>
      </c>
      <c r="M171" s="283">
        <v>0</v>
      </c>
      <c r="N171" s="318"/>
      <c r="O171" s="287"/>
      <c r="P171" s="177"/>
    </row>
    <row r="172" spans="2:16">
      <c r="B172" s="220" t="s">
        <v>87</v>
      </c>
      <c r="C172" s="289">
        <v>0</v>
      </c>
      <c r="D172" s="289">
        <v>1</v>
      </c>
      <c r="E172" s="289">
        <v>2</v>
      </c>
      <c r="F172" s="289">
        <v>1</v>
      </c>
      <c r="G172" s="289">
        <v>0</v>
      </c>
      <c r="H172" s="289">
        <v>4</v>
      </c>
      <c r="I172" s="289">
        <v>1</v>
      </c>
      <c r="J172" s="289">
        <v>1</v>
      </c>
      <c r="K172" s="289">
        <v>0</v>
      </c>
      <c r="L172" s="289">
        <v>0</v>
      </c>
      <c r="M172" s="283">
        <v>1</v>
      </c>
      <c r="N172" s="318"/>
      <c r="O172" s="287"/>
      <c r="P172" s="177"/>
    </row>
    <row r="173" spans="2:16">
      <c r="B173" s="220" t="s">
        <v>88</v>
      </c>
      <c r="C173" s="289">
        <v>0</v>
      </c>
      <c r="D173" s="289">
        <v>2</v>
      </c>
      <c r="E173" s="289">
        <v>1</v>
      </c>
      <c r="F173" s="289">
        <v>1</v>
      </c>
      <c r="G173" s="289">
        <v>0</v>
      </c>
      <c r="H173" s="289">
        <v>0</v>
      </c>
      <c r="I173" s="289">
        <v>0</v>
      </c>
      <c r="J173" s="289">
        <v>0</v>
      </c>
      <c r="K173" s="289">
        <v>0</v>
      </c>
      <c r="L173" s="289">
        <v>0</v>
      </c>
      <c r="M173" s="283">
        <v>0</v>
      </c>
      <c r="N173" s="318"/>
      <c r="O173" s="287"/>
      <c r="P173" s="177"/>
    </row>
    <row r="174" spans="2:16">
      <c r="B174" s="220" t="s">
        <v>89</v>
      </c>
      <c r="C174" s="289">
        <v>0</v>
      </c>
      <c r="D174" s="289">
        <v>1</v>
      </c>
      <c r="E174" s="289">
        <v>1</v>
      </c>
      <c r="F174" s="289">
        <v>0</v>
      </c>
      <c r="G174" s="289">
        <v>1</v>
      </c>
      <c r="H174" s="289">
        <v>1</v>
      </c>
      <c r="I174" s="289">
        <v>0</v>
      </c>
      <c r="J174" s="289">
        <v>0</v>
      </c>
      <c r="K174" s="289">
        <v>0</v>
      </c>
      <c r="L174" s="289">
        <v>0</v>
      </c>
      <c r="M174" s="283">
        <v>0</v>
      </c>
      <c r="N174" s="318"/>
      <c r="O174" s="287"/>
      <c r="P174" s="177"/>
    </row>
    <row r="175" spans="2:16">
      <c r="B175" s="220" t="s">
        <v>90</v>
      </c>
      <c r="C175" s="289">
        <v>0</v>
      </c>
      <c r="D175" s="289">
        <v>1</v>
      </c>
      <c r="E175" s="289">
        <v>1</v>
      </c>
      <c r="F175" s="289">
        <v>1</v>
      </c>
      <c r="G175" s="289">
        <v>0</v>
      </c>
      <c r="H175" s="289">
        <v>0</v>
      </c>
      <c r="I175" s="289">
        <v>0</v>
      </c>
      <c r="J175" s="289">
        <v>0</v>
      </c>
      <c r="K175" s="289">
        <v>0</v>
      </c>
      <c r="L175" s="289">
        <v>0</v>
      </c>
      <c r="M175" s="283">
        <v>0</v>
      </c>
      <c r="N175" s="318"/>
      <c r="O175" s="287"/>
      <c r="P175" s="177"/>
    </row>
    <row r="176" spans="2:16">
      <c r="B176" s="220" t="s">
        <v>91</v>
      </c>
      <c r="C176" s="289">
        <v>0</v>
      </c>
      <c r="D176" s="289">
        <v>1</v>
      </c>
      <c r="E176" s="289">
        <v>1</v>
      </c>
      <c r="F176" s="289">
        <v>0</v>
      </c>
      <c r="G176" s="289">
        <v>0</v>
      </c>
      <c r="H176" s="289">
        <v>0</v>
      </c>
      <c r="I176" s="289">
        <v>0</v>
      </c>
      <c r="J176" s="289">
        <v>0</v>
      </c>
      <c r="K176" s="289">
        <v>0</v>
      </c>
      <c r="L176" s="289">
        <v>1</v>
      </c>
      <c r="M176" s="283">
        <v>0</v>
      </c>
      <c r="N176" s="318"/>
      <c r="O176" s="287"/>
      <c r="P176" s="177"/>
    </row>
    <row r="177" spans="2:16">
      <c r="B177" s="220" t="s">
        <v>92</v>
      </c>
      <c r="C177" s="289">
        <v>0</v>
      </c>
      <c r="D177" s="289">
        <v>0</v>
      </c>
      <c r="E177" s="289">
        <v>0</v>
      </c>
      <c r="F177" s="289">
        <v>0</v>
      </c>
      <c r="G177" s="289">
        <v>0</v>
      </c>
      <c r="H177" s="289">
        <v>0</v>
      </c>
      <c r="I177" s="289">
        <v>0</v>
      </c>
      <c r="J177" s="289">
        <v>0</v>
      </c>
      <c r="K177" s="289">
        <v>0</v>
      </c>
      <c r="L177" s="289">
        <v>0</v>
      </c>
      <c r="M177" s="283">
        <v>0</v>
      </c>
      <c r="N177" s="318"/>
      <c r="O177" s="287"/>
      <c r="P177" s="177"/>
    </row>
    <row r="178" spans="2:16">
      <c r="B178" s="220" t="s">
        <v>95</v>
      </c>
      <c r="C178" s="289">
        <v>0</v>
      </c>
      <c r="D178" s="289">
        <v>0</v>
      </c>
      <c r="E178" s="289">
        <v>0</v>
      </c>
      <c r="F178" s="289">
        <v>0</v>
      </c>
      <c r="G178" s="289">
        <v>0</v>
      </c>
      <c r="H178" s="289">
        <v>0</v>
      </c>
      <c r="I178" s="289">
        <v>0</v>
      </c>
      <c r="J178" s="289">
        <v>0</v>
      </c>
      <c r="K178" s="289">
        <v>0</v>
      </c>
      <c r="L178" s="289">
        <v>0</v>
      </c>
      <c r="M178" s="283">
        <v>0</v>
      </c>
      <c r="N178" s="318"/>
      <c r="O178" s="287"/>
      <c r="P178" s="177"/>
    </row>
    <row r="179" spans="2:16">
      <c r="B179" s="220" t="s">
        <v>96</v>
      </c>
      <c r="C179" s="289">
        <v>0</v>
      </c>
      <c r="D179" s="289">
        <v>0</v>
      </c>
      <c r="E179" s="289">
        <v>0</v>
      </c>
      <c r="F179" s="289">
        <v>0</v>
      </c>
      <c r="G179" s="289">
        <v>0</v>
      </c>
      <c r="H179" s="289">
        <v>0</v>
      </c>
      <c r="I179" s="289">
        <v>0</v>
      </c>
      <c r="J179" s="289">
        <v>0</v>
      </c>
      <c r="K179" s="289">
        <v>0</v>
      </c>
      <c r="L179" s="289">
        <v>0</v>
      </c>
      <c r="M179" s="283">
        <v>0</v>
      </c>
      <c r="N179" s="318"/>
      <c r="O179" s="287"/>
      <c r="P179" s="177"/>
    </row>
    <row r="180" spans="2:16">
      <c r="B180" s="220" t="s">
        <v>93</v>
      </c>
      <c r="C180" s="289">
        <v>0</v>
      </c>
      <c r="D180" s="289">
        <v>0</v>
      </c>
      <c r="E180" s="289">
        <v>0</v>
      </c>
      <c r="F180" s="289">
        <v>0</v>
      </c>
      <c r="G180" s="289">
        <v>0</v>
      </c>
      <c r="H180" s="289">
        <v>0</v>
      </c>
      <c r="I180" s="289">
        <v>0</v>
      </c>
      <c r="J180" s="289">
        <v>0</v>
      </c>
      <c r="K180" s="289">
        <v>0</v>
      </c>
      <c r="L180" s="289">
        <v>0</v>
      </c>
      <c r="M180" s="283">
        <v>0</v>
      </c>
      <c r="N180" s="318"/>
      <c r="O180" s="287"/>
      <c r="P180" s="177"/>
    </row>
    <row r="181" spans="2:16">
      <c r="B181" s="220" t="s">
        <v>97</v>
      </c>
      <c r="C181" s="289">
        <v>0</v>
      </c>
      <c r="D181" s="289">
        <v>0</v>
      </c>
      <c r="E181" s="289">
        <v>0</v>
      </c>
      <c r="F181" s="289">
        <v>0</v>
      </c>
      <c r="G181" s="289">
        <v>0</v>
      </c>
      <c r="H181" s="289">
        <v>0</v>
      </c>
      <c r="I181" s="289">
        <v>0</v>
      </c>
      <c r="J181" s="289">
        <v>0</v>
      </c>
      <c r="K181" s="289">
        <v>0</v>
      </c>
      <c r="L181" s="289">
        <v>0</v>
      </c>
      <c r="M181" s="283">
        <v>0</v>
      </c>
      <c r="N181" s="318"/>
      <c r="O181" s="287"/>
      <c r="P181" s="177"/>
    </row>
    <row r="182" spans="2:16">
      <c r="B182" s="207" t="s">
        <v>136</v>
      </c>
      <c r="C182" s="290">
        <v>0</v>
      </c>
      <c r="D182" s="290">
        <v>0</v>
      </c>
      <c r="E182" s="290">
        <v>0</v>
      </c>
      <c r="F182" s="290">
        <v>0</v>
      </c>
      <c r="G182" s="290">
        <v>0</v>
      </c>
      <c r="H182" s="290">
        <v>0</v>
      </c>
      <c r="I182" s="290">
        <v>0</v>
      </c>
      <c r="J182" s="290">
        <v>0</v>
      </c>
      <c r="K182" s="290">
        <v>0</v>
      </c>
      <c r="L182" s="290">
        <v>0</v>
      </c>
      <c r="M182" s="285">
        <v>0</v>
      </c>
      <c r="N182" s="319"/>
      <c r="O182" s="288"/>
      <c r="P182" s="177"/>
    </row>
    <row r="183" spans="2:16" s="172" customFormat="1">
      <c r="B183" s="218"/>
      <c r="C183" s="283"/>
      <c r="D183" s="283"/>
      <c r="E183" s="283"/>
      <c r="F183" s="283"/>
      <c r="G183" s="283"/>
      <c r="H183" s="283"/>
      <c r="I183" s="283"/>
      <c r="J183" s="283"/>
      <c r="K183" s="283"/>
      <c r="L183" s="283"/>
      <c r="M183" s="283"/>
      <c r="N183" s="317"/>
      <c r="O183" s="283"/>
      <c r="P183" s="283"/>
    </row>
    <row r="184" spans="2:16" s="172" customFormat="1">
      <c r="C184" s="283"/>
      <c r="D184" s="283"/>
      <c r="E184" s="283"/>
      <c r="F184" s="283"/>
      <c r="G184" s="286"/>
      <c r="H184" s="286"/>
      <c r="I184" s="286"/>
      <c r="J184" s="286"/>
      <c r="K184" s="286"/>
      <c r="L184" s="283"/>
      <c r="M184" s="283"/>
      <c r="N184" s="317"/>
      <c r="O184" s="283"/>
    </row>
    <row r="185" spans="2:16">
      <c r="B185" s="64"/>
      <c r="C185" s="179"/>
      <c r="D185" s="179"/>
      <c r="E185" s="179"/>
      <c r="F185" s="179"/>
      <c r="G185" s="179"/>
      <c r="H185" s="179"/>
      <c r="I185" s="179"/>
      <c r="J185" s="179"/>
      <c r="K185" s="179"/>
      <c r="L185" s="179"/>
      <c r="M185" s="177"/>
      <c r="N185" s="318"/>
      <c r="O185" s="177"/>
      <c r="P185" s="179"/>
    </row>
    <row r="186" spans="2:16">
      <c r="B186" s="179"/>
      <c r="C186" s="179"/>
      <c r="D186" s="179"/>
      <c r="E186" s="179"/>
      <c r="F186" s="179"/>
      <c r="G186" s="179"/>
      <c r="H186" s="179"/>
      <c r="I186" s="179"/>
      <c r="J186" s="179"/>
      <c r="K186" s="179"/>
      <c r="L186" s="179"/>
      <c r="M186" s="177"/>
      <c r="N186" s="318"/>
      <c r="O186" s="177"/>
      <c r="P186" s="179"/>
    </row>
    <row r="187" spans="2:16">
      <c r="B187" s="179"/>
      <c r="C187" s="179"/>
      <c r="D187" s="179"/>
      <c r="E187" s="179"/>
      <c r="F187" s="179"/>
      <c r="G187" s="179"/>
      <c r="H187" s="179"/>
      <c r="I187" s="179"/>
      <c r="J187" s="179"/>
      <c r="K187" s="179"/>
      <c r="L187" s="179"/>
      <c r="M187" s="177"/>
      <c r="N187" s="318"/>
      <c r="O187" s="177"/>
      <c r="P187" s="179"/>
    </row>
    <row r="188" spans="2:16">
      <c r="B188" s="188" t="s">
        <v>176</v>
      </c>
      <c r="C188" s="199"/>
      <c r="D188" s="199"/>
      <c r="E188" s="199"/>
      <c r="F188" s="199"/>
      <c r="G188" s="199"/>
      <c r="H188" s="199"/>
      <c r="I188" s="199"/>
      <c r="J188" s="199"/>
      <c r="K188" s="199"/>
      <c r="L188" s="199"/>
      <c r="M188" s="200"/>
      <c r="N188" s="200"/>
      <c r="O188" s="201"/>
      <c r="P188" s="179"/>
    </row>
    <row r="189" spans="2:16">
      <c r="B189" s="190"/>
      <c r="C189" s="291"/>
      <c r="D189" s="291"/>
      <c r="E189" s="291"/>
      <c r="F189" s="291"/>
      <c r="G189" s="291"/>
      <c r="H189" s="291"/>
      <c r="I189" s="291"/>
      <c r="J189" s="291"/>
      <c r="K189" s="291"/>
      <c r="L189" s="291"/>
      <c r="M189" s="293"/>
      <c r="N189" s="318"/>
      <c r="O189" s="294"/>
      <c r="P189" s="179"/>
    </row>
    <row r="190" spans="2:16">
      <c r="B190" s="190"/>
      <c r="C190" s="328" t="s">
        <v>0</v>
      </c>
      <c r="D190" s="328" t="s">
        <v>1</v>
      </c>
      <c r="E190" s="328" t="s">
        <v>2</v>
      </c>
      <c r="F190" s="328" t="s">
        <v>3</v>
      </c>
      <c r="G190" s="328" t="s">
        <v>4</v>
      </c>
      <c r="H190" s="328" t="s">
        <v>5</v>
      </c>
      <c r="I190" s="328" t="s">
        <v>6</v>
      </c>
      <c r="J190" s="328" t="s">
        <v>7</v>
      </c>
      <c r="K190" s="328" t="s">
        <v>8</v>
      </c>
      <c r="L190" s="328">
        <v>2011</v>
      </c>
      <c r="M190" s="328">
        <v>2012</v>
      </c>
      <c r="N190" s="155"/>
      <c r="O190" s="112"/>
      <c r="P190" s="179"/>
    </row>
    <row r="191" spans="2:16">
      <c r="B191" s="211" t="s">
        <v>102</v>
      </c>
      <c r="C191" s="325">
        <f>C165+C214+C240+C265</f>
        <v>0</v>
      </c>
      <c r="D191" s="325">
        <f t="shared" ref="D191:M191" si="22">D165+D214+D240+D265</f>
        <v>8</v>
      </c>
      <c r="E191" s="325">
        <f t="shared" si="22"/>
        <v>7</v>
      </c>
      <c r="F191" s="325">
        <f t="shared" si="22"/>
        <v>4</v>
      </c>
      <c r="G191" s="325">
        <f t="shared" si="22"/>
        <v>4</v>
      </c>
      <c r="H191" s="325">
        <f t="shared" si="22"/>
        <v>5</v>
      </c>
      <c r="I191" s="325">
        <f t="shared" si="22"/>
        <v>250381</v>
      </c>
      <c r="J191" s="325">
        <f t="shared" si="22"/>
        <v>271471</v>
      </c>
      <c r="K191" s="325">
        <f t="shared" si="22"/>
        <v>265161</v>
      </c>
      <c r="L191" s="325">
        <f t="shared" si="22"/>
        <v>266041</v>
      </c>
      <c r="M191" s="325">
        <f t="shared" si="22"/>
        <v>265635</v>
      </c>
      <c r="N191" s="318"/>
      <c r="O191" s="294"/>
      <c r="P191" s="179"/>
    </row>
    <row r="192" spans="2:16">
      <c r="B192" s="190" t="s">
        <v>98</v>
      </c>
      <c r="C192" s="325">
        <f t="shared" ref="C192:M192" si="23">C166+C215+C241+C266</f>
        <v>0</v>
      </c>
      <c r="D192" s="325">
        <f t="shared" si="23"/>
        <v>1696</v>
      </c>
      <c r="E192" s="325">
        <f t="shared" si="23"/>
        <v>1895</v>
      </c>
      <c r="F192" s="325">
        <f t="shared" si="23"/>
        <v>2006</v>
      </c>
      <c r="G192" s="325">
        <f t="shared" si="23"/>
        <v>2521</v>
      </c>
      <c r="H192" s="325">
        <f t="shared" si="23"/>
        <v>2622</v>
      </c>
      <c r="I192" s="325">
        <f t="shared" si="23"/>
        <v>53563</v>
      </c>
      <c r="J192" s="325">
        <f t="shared" si="23"/>
        <v>63977</v>
      </c>
      <c r="K192" s="325">
        <f t="shared" si="23"/>
        <v>76724</v>
      </c>
      <c r="L192" s="325">
        <f t="shared" si="23"/>
        <v>75929</v>
      </c>
      <c r="M192" s="325">
        <f t="shared" si="23"/>
        <v>76240</v>
      </c>
      <c r="N192" s="318"/>
      <c r="O192" s="294"/>
      <c r="P192" s="179"/>
    </row>
    <row r="193" spans="2:16">
      <c r="B193" s="190" t="s">
        <v>99</v>
      </c>
      <c r="C193" s="325">
        <f t="shared" ref="C193:M193" si="24">C167+C216+C242+C267</f>
        <v>0</v>
      </c>
      <c r="D193" s="325">
        <f t="shared" si="24"/>
        <v>13175</v>
      </c>
      <c r="E193" s="325">
        <f t="shared" si="24"/>
        <v>14660</v>
      </c>
      <c r="F193" s="325">
        <f t="shared" si="24"/>
        <v>15714</v>
      </c>
      <c r="G193" s="325">
        <f t="shared" si="24"/>
        <v>18513</v>
      </c>
      <c r="H193" s="325">
        <f t="shared" si="24"/>
        <v>20587</v>
      </c>
      <c r="I193" s="325">
        <f t="shared" si="24"/>
        <v>19061</v>
      </c>
      <c r="J193" s="325">
        <f t="shared" si="24"/>
        <v>17233</v>
      </c>
      <c r="K193" s="325">
        <f t="shared" si="24"/>
        <v>21482</v>
      </c>
      <c r="L193" s="325">
        <f t="shared" si="24"/>
        <v>19352</v>
      </c>
      <c r="M193" s="325">
        <f t="shared" si="24"/>
        <v>20468</v>
      </c>
      <c r="N193" s="318"/>
      <c r="O193" s="294"/>
      <c r="P193" s="179"/>
    </row>
    <row r="194" spans="2:16">
      <c r="B194" s="190" t="s">
        <v>83</v>
      </c>
      <c r="C194" s="325">
        <f t="shared" ref="C194:M194" si="25">C168+C217+C243+C268</f>
        <v>0</v>
      </c>
      <c r="D194" s="325">
        <f t="shared" si="25"/>
        <v>17405</v>
      </c>
      <c r="E194" s="325">
        <f t="shared" si="25"/>
        <v>18941</v>
      </c>
      <c r="F194" s="325">
        <f t="shared" si="25"/>
        <v>21480</v>
      </c>
      <c r="G194" s="325">
        <f t="shared" si="25"/>
        <v>22875</v>
      </c>
      <c r="H194" s="325">
        <f t="shared" si="25"/>
        <v>23272</v>
      </c>
      <c r="I194" s="325">
        <f t="shared" si="25"/>
        <v>24134</v>
      </c>
      <c r="J194" s="325">
        <f t="shared" si="25"/>
        <v>24989</v>
      </c>
      <c r="K194" s="325">
        <f t="shared" si="25"/>
        <v>24017</v>
      </c>
      <c r="L194" s="325">
        <f t="shared" si="25"/>
        <v>24404</v>
      </c>
      <c r="M194" s="325">
        <f t="shared" si="25"/>
        <v>24306</v>
      </c>
      <c r="N194" s="318"/>
      <c r="O194" s="294"/>
      <c r="P194" s="179"/>
    </row>
    <row r="195" spans="2:16">
      <c r="B195" s="190" t="s">
        <v>84</v>
      </c>
      <c r="C195" s="325">
        <f t="shared" ref="C195:M195" si="26">C169+C218+C244+C269</f>
        <v>0</v>
      </c>
      <c r="D195" s="325">
        <f t="shared" si="26"/>
        <v>15701</v>
      </c>
      <c r="E195" s="325">
        <f t="shared" si="26"/>
        <v>17051</v>
      </c>
      <c r="F195" s="325">
        <f t="shared" si="26"/>
        <v>18420</v>
      </c>
      <c r="G195" s="325">
        <f t="shared" si="26"/>
        <v>23089</v>
      </c>
      <c r="H195" s="325">
        <f t="shared" si="26"/>
        <v>24207</v>
      </c>
      <c r="I195" s="325">
        <f t="shared" si="26"/>
        <v>21872</v>
      </c>
      <c r="J195" s="325">
        <f t="shared" si="26"/>
        <v>24559</v>
      </c>
      <c r="K195" s="325">
        <f t="shared" si="26"/>
        <v>23902</v>
      </c>
      <c r="L195" s="325">
        <f t="shared" si="26"/>
        <v>23012</v>
      </c>
      <c r="M195" s="325">
        <f t="shared" si="26"/>
        <v>23468</v>
      </c>
      <c r="N195" s="318"/>
      <c r="O195" s="294"/>
      <c r="P195" s="179"/>
    </row>
    <row r="196" spans="2:16">
      <c r="B196" s="190" t="s">
        <v>85</v>
      </c>
      <c r="C196" s="325">
        <f t="shared" ref="C196:M196" si="27">C170+C219+C245+C270</f>
        <v>0</v>
      </c>
      <c r="D196" s="325">
        <f t="shared" si="27"/>
        <v>14832</v>
      </c>
      <c r="E196" s="325">
        <f t="shared" si="27"/>
        <v>15983</v>
      </c>
      <c r="F196" s="325">
        <f t="shared" si="27"/>
        <v>16928</v>
      </c>
      <c r="G196" s="325">
        <f t="shared" si="27"/>
        <v>20072</v>
      </c>
      <c r="H196" s="325">
        <f t="shared" si="27"/>
        <v>20745</v>
      </c>
      <c r="I196" s="325">
        <f t="shared" si="27"/>
        <v>20899</v>
      </c>
      <c r="J196" s="325">
        <f t="shared" si="27"/>
        <v>21764</v>
      </c>
      <c r="K196" s="325">
        <f t="shared" si="27"/>
        <v>23227</v>
      </c>
      <c r="L196" s="325">
        <f t="shared" si="27"/>
        <v>21571</v>
      </c>
      <c r="M196" s="325">
        <f t="shared" si="27"/>
        <v>22447</v>
      </c>
      <c r="N196" s="318"/>
      <c r="O196" s="294"/>
      <c r="P196" s="179"/>
    </row>
    <row r="197" spans="2:16">
      <c r="B197" s="190" t="s">
        <v>86</v>
      </c>
      <c r="C197" s="325">
        <f t="shared" ref="C197:M197" si="28">C171+C220+C246+C271</f>
        <v>0</v>
      </c>
      <c r="D197" s="325">
        <f t="shared" si="28"/>
        <v>14058</v>
      </c>
      <c r="E197" s="325">
        <f t="shared" si="28"/>
        <v>15399</v>
      </c>
      <c r="F197" s="325">
        <f t="shared" si="28"/>
        <v>16927</v>
      </c>
      <c r="G197" s="325">
        <f t="shared" si="28"/>
        <v>18068</v>
      </c>
      <c r="H197" s="325">
        <f t="shared" si="28"/>
        <v>17229</v>
      </c>
      <c r="I197" s="325">
        <f t="shared" si="28"/>
        <v>19396</v>
      </c>
      <c r="J197" s="325">
        <f t="shared" si="28"/>
        <v>19605</v>
      </c>
      <c r="K197" s="325">
        <f t="shared" si="28"/>
        <v>19303</v>
      </c>
      <c r="L197" s="325">
        <f t="shared" si="28"/>
        <v>20692</v>
      </c>
      <c r="M197" s="325">
        <f t="shared" si="28"/>
        <v>20003</v>
      </c>
      <c r="N197" s="318"/>
      <c r="O197" s="294"/>
      <c r="P197" s="179"/>
    </row>
    <row r="198" spans="2:16">
      <c r="B198" s="190" t="s">
        <v>87</v>
      </c>
      <c r="C198" s="325">
        <f t="shared" ref="C198:M198" si="29">C172+C221+C247+C272</f>
        <v>0</v>
      </c>
      <c r="D198" s="325">
        <f t="shared" si="29"/>
        <v>14650</v>
      </c>
      <c r="E198" s="325">
        <f t="shared" si="29"/>
        <v>15706</v>
      </c>
      <c r="F198" s="325">
        <f t="shared" si="29"/>
        <v>17843</v>
      </c>
      <c r="G198" s="325">
        <f t="shared" si="29"/>
        <v>17831</v>
      </c>
      <c r="H198" s="325">
        <f t="shared" si="29"/>
        <v>16389</v>
      </c>
      <c r="I198" s="325">
        <f t="shared" si="29"/>
        <v>16090</v>
      </c>
      <c r="J198" s="325">
        <f t="shared" si="29"/>
        <v>18707</v>
      </c>
      <c r="K198" s="325">
        <f t="shared" si="29"/>
        <v>17155</v>
      </c>
      <c r="L198" s="325">
        <f t="shared" si="29"/>
        <v>16590</v>
      </c>
      <c r="M198" s="325">
        <f t="shared" si="29"/>
        <v>16865</v>
      </c>
      <c r="N198" s="318"/>
      <c r="O198" s="294"/>
      <c r="P198" s="179"/>
    </row>
    <row r="199" spans="2:16">
      <c r="B199" s="190" t="s">
        <v>88</v>
      </c>
      <c r="C199" s="325">
        <f t="shared" ref="C199:M199" si="30">C173+C222+C248+C273</f>
        <v>0</v>
      </c>
      <c r="D199" s="325">
        <f t="shared" si="30"/>
        <v>13907</v>
      </c>
      <c r="E199" s="325">
        <f t="shared" si="30"/>
        <v>15236</v>
      </c>
      <c r="F199" s="325">
        <f t="shared" si="30"/>
        <v>15710</v>
      </c>
      <c r="G199" s="325">
        <f t="shared" si="30"/>
        <v>17227</v>
      </c>
      <c r="H199" s="325">
        <f t="shared" si="30"/>
        <v>13054</v>
      </c>
      <c r="I199" s="325">
        <f t="shared" si="30"/>
        <v>14334</v>
      </c>
      <c r="J199" s="325">
        <f t="shared" si="30"/>
        <v>14354</v>
      </c>
      <c r="K199" s="325">
        <f t="shared" si="30"/>
        <v>15808</v>
      </c>
      <c r="L199" s="325">
        <f t="shared" si="30"/>
        <v>14130</v>
      </c>
      <c r="M199" s="325">
        <f t="shared" si="30"/>
        <v>14966</v>
      </c>
      <c r="N199" s="318"/>
      <c r="O199" s="294"/>
      <c r="P199" s="179"/>
    </row>
    <row r="200" spans="2:16">
      <c r="B200" s="190" t="s">
        <v>89</v>
      </c>
      <c r="C200" s="325">
        <f t="shared" ref="C200:M200" si="31">C174+C223+C249+C274</f>
        <v>0</v>
      </c>
      <c r="D200" s="325">
        <f t="shared" si="31"/>
        <v>12458</v>
      </c>
      <c r="E200" s="325">
        <f t="shared" si="31"/>
        <v>13957</v>
      </c>
      <c r="F200" s="325">
        <f t="shared" si="31"/>
        <v>15242</v>
      </c>
      <c r="G200" s="325">
        <f t="shared" si="31"/>
        <v>17347</v>
      </c>
      <c r="H200" s="325">
        <f t="shared" si="31"/>
        <v>15557</v>
      </c>
      <c r="I200" s="325">
        <f t="shared" si="31"/>
        <v>13571</v>
      </c>
      <c r="J200" s="325">
        <f t="shared" si="31"/>
        <v>12177</v>
      </c>
      <c r="K200" s="325">
        <f t="shared" si="31"/>
        <v>11855</v>
      </c>
      <c r="L200" s="325">
        <f t="shared" si="31"/>
        <v>12156</v>
      </c>
      <c r="M200" s="325">
        <f t="shared" si="31"/>
        <v>12004</v>
      </c>
      <c r="N200" s="318"/>
      <c r="O200" s="294"/>
      <c r="P200" s="179"/>
    </row>
    <row r="201" spans="2:16">
      <c r="B201" s="190" t="s">
        <v>90</v>
      </c>
      <c r="C201" s="325">
        <f t="shared" ref="C201:M201" si="32">C175+C224+C250+C275</f>
        <v>0</v>
      </c>
      <c r="D201" s="325">
        <f t="shared" si="32"/>
        <v>10840</v>
      </c>
      <c r="E201" s="325">
        <f t="shared" si="32"/>
        <v>12111</v>
      </c>
      <c r="F201" s="325">
        <f t="shared" si="32"/>
        <v>13621</v>
      </c>
      <c r="G201" s="325">
        <f t="shared" si="32"/>
        <v>14689</v>
      </c>
      <c r="H201" s="325">
        <f t="shared" si="32"/>
        <v>13603</v>
      </c>
      <c r="I201" s="325">
        <f t="shared" si="32"/>
        <v>13508</v>
      </c>
      <c r="J201" s="325">
        <f t="shared" si="32"/>
        <v>12341</v>
      </c>
      <c r="K201" s="325">
        <f t="shared" si="32"/>
        <v>9555</v>
      </c>
      <c r="L201" s="325">
        <f t="shared" si="32"/>
        <v>8682</v>
      </c>
      <c r="M201" s="325">
        <f t="shared" si="32"/>
        <v>9111</v>
      </c>
      <c r="N201" s="318"/>
      <c r="O201" s="294"/>
      <c r="P201" s="179"/>
    </row>
    <row r="202" spans="2:16">
      <c r="B202" s="190" t="s">
        <v>91</v>
      </c>
      <c r="C202" s="325">
        <f t="shared" ref="C202:M202" si="33">C176+C225+C251+C276</f>
        <v>0</v>
      </c>
      <c r="D202" s="325">
        <f t="shared" si="33"/>
        <v>8158</v>
      </c>
      <c r="E202" s="325">
        <f t="shared" si="33"/>
        <v>8760</v>
      </c>
      <c r="F202" s="325">
        <f t="shared" si="33"/>
        <v>9372</v>
      </c>
      <c r="G202" s="325">
        <f t="shared" si="33"/>
        <v>12502</v>
      </c>
      <c r="H202" s="325">
        <f t="shared" si="33"/>
        <v>11291</v>
      </c>
      <c r="I202" s="325">
        <f t="shared" si="33"/>
        <v>10995</v>
      </c>
      <c r="J202" s="325">
        <f t="shared" si="33"/>
        <v>11534</v>
      </c>
      <c r="K202" s="325">
        <f t="shared" si="33"/>
        <v>8597</v>
      </c>
      <c r="L202" s="325">
        <f t="shared" si="33"/>
        <v>7261</v>
      </c>
      <c r="M202" s="325">
        <f t="shared" si="33"/>
        <v>7930</v>
      </c>
      <c r="N202" s="318"/>
      <c r="O202" s="294"/>
      <c r="P202" s="179"/>
    </row>
    <row r="203" spans="2:16">
      <c r="B203" s="190" t="s">
        <v>92</v>
      </c>
      <c r="C203" s="325">
        <f t="shared" ref="C203:M203" si="34">C177+C226+C252+C277</f>
        <v>0</v>
      </c>
      <c r="D203" s="325">
        <f t="shared" si="34"/>
        <v>5817</v>
      </c>
      <c r="E203" s="325">
        <f t="shared" si="34"/>
        <v>6340</v>
      </c>
      <c r="F203" s="325">
        <f t="shared" si="34"/>
        <v>6209</v>
      </c>
      <c r="G203" s="325">
        <f t="shared" si="34"/>
        <v>7904</v>
      </c>
      <c r="H203" s="325">
        <f t="shared" si="34"/>
        <v>8994</v>
      </c>
      <c r="I203" s="325">
        <f t="shared" si="34"/>
        <v>8503</v>
      </c>
      <c r="J203" s="325">
        <f t="shared" si="34"/>
        <v>8450</v>
      </c>
      <c r="K203" s="325">
        <f t="shared" si="34"/>
        <v>7437</v>
      </c>
      <c r="L203" s="325">
        <f t="shared" si="34"/>
        <v>6418</v>
      </c>
      <c r="M203" s="325">
        <f t="shared" si="34"/>
        <v>6929</v>
      </c>
      <c r="N203" s="318"/>
      <c r="O203" s="294"/>
      <c r="P203" s="179"/>
    </row>
    <row r="204" spans="2:16">
      <c r="B204" s="190" t="s">
        <v>95</v>
      </c>
      <c r="C204" s="325">
        <f t="shared" ref="C204:M204" si="35">C178+C227+C253+C278</f>
        <v>0</v>
      </c>
      <c r="D204" s="325">
        <f t="shared" si="35"/>
        <v>6487</v>
      </c>
      <c r="E204" s="325">
        <f t="shared" si="35"/>
        <v>7072</v>
      </c>
      <c r="F204" s="325">
        <f t="shared" si="35"/>
        <v>6377</v>
      </c>
      <c r="G204" s="325">
        <f t="shared" si="35"/>
        <v>8774</v>
      </c>
      <c r="H204" s="325">
        <f t="shared" si="35"/>
        <v>9255</v>
      </c>
      <c r="I204" s="325">
        <f t="shared" si="35"/>
        <v>11286</v>
      </c>
      <c r="J204" s="325">
        <f t="shared" si="35"/>
        <v>11889</v>
      </c>
      <c r="K204" s="325">
        <f t="shared" si="35"/>
        <v>11845</v>
      </c>
      <c r="L204" s="325">
        <f t="shared" si="35"/>
        <v>11565</v>
      </c>
      <c r="M204" s="325">
        <f t="shared" si="35"/>
        <v>11706</v>
      </c>
      <c r="N204" s="318"/>
      <c r="O204" s="294"/>
      <c r="P204" s="179"/>
    </row>
    <row r="205" spans="2:16">
      <c r="B205" s="190" t="s">
        <v>96</v>
      </c>
      <c r="C205" s="325">
        <f t="shared" ref="C205:M205" si="36">C179+C228+C254+C279</f>
        <v>0</v>
      </c>
      <c r="D205" s="325">
        <f t="shared" si="36"/>
        <v>754</v>
      </c>
      <c r="E205" s="325">
        <f t="shared" si="36"/>
        <v>836</v>
      </c>
      <c r="F205" s="325">
        <f t="shared" si="36"/>
        <v>757</v>
      </c>
      <c r="G205" s="325">
        <f t="shared" si="36"/>
        <v>1049</v>
      </c>
      <c r="H205" s="325">
        <f t="shared" si="36"/>
        <v>1127</v>
      </c>
      <c r="I205" s="325">
        <f t="shared" si="36"/>
        <v>1358</v>
      </c>
      <c r="J205" s="325">
        <f t="shared" si="36"/>
        <v>1423</v>
      </c>
      <c r="K205" s="325">
        <f t="shared" si="36"/>
        <v>1431</v>
      </c>
      <c r="L205" s="325">
        <f t="shared" si="36"/>
        <v>1389</v>
      </c>
      <c r="M205" s="325">
        <f t="shared" si="36"/>
        <v>1412</v>
      </c>
      <c r="N205" s="318"/>
      <c r="O205" s="294"/>
      <c r="P205" s="179"/>
    </row>
    <row r="206" spans="2:16">
      <c r="B206" s="190" t="s">
        <v>93</v>
      </c>
      <c r="C206" s="325">
        <f t="shared" ref="C206:M206" si="37">C180+C229+C255+C280</f>
        <v>0</v>
      </c>
      <c r="D206" s="325">
        <f t="shared" si="37"/>
        <v>185</v>
      </c>
      <c r="E206" s="325">
        <f t="shared" si="37"/>
        <v>211</v>
      </c>
      <c r="F206" s="325">
        <f t="shared" si="37"/>
        <v>194</v>
      </c>
      <c r="G206" s="325">
        <f t="shared" si="37"/>
        <v>271</v>
      </c>
      <c r="H206" s="325">
        <f t="shared" si="37"/>
        <v>300</v>
      </c>
      <c r="I206" s="325">
        <f t="shared" si="37"/>
        <v>354</v>
      </c>
      <c r="J206" s="325">
        <f t="shared" si="37"/>
        <v>368</v>
      </c>
      <c r="K206" s="325">
        <f t="shared" si="37"/>
        <v>374</v>
      </c>
      <c r="L206" s="325">
        <f t="shared" si="37"/>
        <v>358</v>
      </c>
      <c r="M206" s="325">
        <f t="shared" si="37"/>
        <v>367</v>
      </c>
      <c r="N206" s="318"/>
      <c r="O206" s="294"/>
      <c r="P206" s="179"/>
    </row>
    <row r="207" spans="2:16">
      <c r="B207" s="190" t="s">
        <v>97</v>
      </c>
      <c r="C207" s="325">
        <f t="shared" ref="C207:M207" si="38">C181+C230+C256+C281</f>
        <v>0</v>
      </c>
      <c r="D207" s="325">
        <f t="shared" si="38"/>
        <v>27</v>
      </c>
      <c r="E207" s="325">
        <f t="shared" si="38"/>
        <v>34</v>
      </c>
      <c r="F207" s="325">
        <f t="shared" si="38"/>
        <v>31</v>
      </c>
      <c r="G207" s="325">
        <f t="shared" si="38"/>
        <v>46</v>
      </c>
      <c r="H207" s="325">
        <f t="shared" si="38"/>
        <v>57</v>
      </c>
      <c r="I207" s="325">
        <f t="shared" si="38"/>
        <v>63</v>
      </c>
      <c r="J207" s="325">
        <f t="shared" si="38"/>
        <v>63</v>
      </c>
      <c r="K207" s="325">
        <f t="shared" si="38"/>
        <v>67</v>
      </c>
      <c r="L207" s="325">
        <f t="shared" si="38"/>
        <v>62</v>
      </c>
      <c r="M207" s="325">
        <f t="shared" si="38"/>
        <v>63</v>
      </c>
      <c r="N207" s="318"/>
      <c r="O207" s="294"/>
      <c r="P207" s="179"/>
    </row>
    <row r="208" spans="2:16">
      <c r="B208" s="207" t="s">
        <v>136</v>
      </c>
      <c r="C208" s="324">
        <f t="shared" ref="C208:M208" si="39">C182+C231+C257+C282</f>
        <v>0</v>
      </c>
      <c r="D208" s="324">
        <f t="shared" si="39"/>
        <v>60</v>
      </c>
      <c r="E208" s="324">
        <f t="shared" si="39"/>
        <v>64</v>
      </c>
      <c r="F208" s="324">
        <f t="shared" si="39"/>
        <v>59</v>
      </c>
      <c r="G208" s="324">
        <f t="shared" si="39"/>
        <v>80</v>
      </c>
      <c r="H208" s="324">
        <f t="shared" si="39"/>
        <v>96</v>
      </c>
      <c r="I208" s="324">
        <f t="shared" si="39"/>
        <v>106</v>
      </c>
      <c r="J208" s="324">
        <f t="shared" si="39"/>
        <v>104</v>
      </c>
      <c r="K208" s="324">
        <f t="shared" si="39"/>
        <v>98</v>
      </c>
      <c r="L208" s="324">
        <f t="shared" si="39"/>
        <v>93</v>
      </c>
      <c r="M208" s="324">
        <f t="shared" si="39"/>
        <v>98</v>
      </c>
      <c r="N208" s="319"/>
      <c r="O208" s="295"/>
      <c r="P208" s="179"/>
    </row>
    <row r="209" spans="2:16" s="172" customFormat="1">
      <c r="C209" s="292"/>
      <c r="D209" s="292"/>
      <c r="E209" s="292"/>
      <c r="F209" s="292"/>
      <c r="G209" s="292"/>
      <c r="H209" s="292"/>
      <c r="I209" s="292"/>
      <c r="J209" s="292"/>
      <c r="K209" s="292"/>
      <c r="L209" s="292"/>
      <c r="M209" s="292"/>
      <c r="N209" s="317"/>
      <c r="O209" s="292"/>
    </row>
    <row r="210" spans="2:16">
      <c r="B210" s="179"/>
      <c r="C210" s="179"/>
      <c r="D210" s="179"/>
      <c r="E210" s="179"/>
      <c r="F210" s="179"/>
      <c r="G210" s="179"/>
      <c r="H210" s="179"/>
      <c r="I210" s="179"/>
      <c r="J210" s="179"/>
      <c r="K210" s="179"/>
      <c r="L210" s="179"/>
      <c r="M210" s="177"/>
      <c r="N210" s="318"/>
      <c r="O210" s="177"/>
      <c r="P210" s="179"/>
    </row>
    <row r="211" spans="2:16">
      <c r="B211" s="188" t="s">
        <v>153</v>
      </c>
      <c r="C211" s="199"/>
      <c r="D211" s="199"/>
      <c r="E211" s="199"/>
      <c r="F211" s="199"/>
      <c r="G211" s="199"/>
      <c r="H211" s="199"/>
      <c r="I211" s="199"/>
      <c r="J211" s="199"/>
      <c r="K211" s="199"/>
      <c r="L211" s="199"/>
      <c r="M211" s="200"/>
      <c r="N211" s="200"/>
      <c r="O211" s="201"/>
      <c r="P211" s="179"/>
    </row>
    <row r="212" spans="2:16">
      <c r="B212" s="190"/>
      <c r="C212" s="296"/>
      <c r="D212" s="296"/>
      <c r="E212" s="296"/>
      <c r="F212" s="296"/>
      <c r="M212" s="297"/>
      <c r="N212" s="318"/>
      <c r="O212" s="299"/>
      <c r="P212" s="179"/>
    </row>
    <row r="213" spans="2:16">
      <c r="B213" s="190"/>
      <c r="C213" s="297" t="s">
        <v>0</v>
      </c>
      <c r="D213" s="297" t="s">
        <v>1</v>
      </c>
      <c r="E213" s="297" t="s">
        <v>2</v>
      </c>
      <c r="F213" s="297" t="s">
        <v>3</v>
      </c>
      <c r="G213" s="297" t="s">
        <v>4</v>
      </c>
      <c r="H213" s="297" t="s">
        <v>5</v>
      </c>
      <c r="I213" s="297" t="s">
        <v>6</v>
      </c>
      <c r="J213" s="297" t="s">
        <v>7</v>
      </c>
      <c r="K213" s="297" t="s">
        <v>8</v>
      </c>
      <c r="L213" s="297">
        <v>2011</v>
      </c>
      <c r="M213" s="297">
        <v>2012</v>
      </c>
      <c r="N213" s="155"/>
      <c r="O213" s="112"/>
      <c r="P213" s="297"/>
    </row>
    <row r="214" spans="2:16">
      <c r="B214" s="211" t="s">
        <v>102</v>
      </c>
      <c r="C214" s="302">
        <v>0</v>
      </c>
      <c r="D214" s="302">
        <v>0</v>
      </c>
      <c r="E214" s="302">
        <v>0</v>
      </c>
      <c r="F214" s="302">
        <v>0</v>
      </c>
      <c r="G214" s="302">
        <v>0</v>
      </c>
      <c r="H214" s="302">
        <v>0</v>
      </c>
      <c r="I214" s="302">
        <v>226220</v>
      </c>
      <c r="J214" s="302">
        <v>241197</v>
      </c>
      <c r="K214" s="302">
        <v>233352</v>
      </c>
      <c r="L214" s="302">
        <v>234058</v>
      </c>
      <c r="M214" s="297">
        <v>233705</v>
      </c>
      <c r="N214" s="318"/>
      <c r="O214" s="299"/>
      <c r="P214" s="297"/>
    </row>
    <row r="215" spans="2:16">
      <c r="B215" s="190" t="s">
        <v>98</v>
      </c>
      <c r="C215" s="302">
        <v>0</v>
      </c>
      <c r="D215" s="302">
        <v>0</v>
      </c>
      <c r="E215" s="302">
        <v>0</v>
      </c>
      <c r="F215" s="302">
        <v>0</v>
      </c>
      <c r="G215" s="302">
        <v>0</v>
      </c>
      <c r="H215" s="302">
        <v>0</v>
      </c>
      <c r="I215" s="302">
        <v>50585</v>
      </c>
      <c r="J215" s="302">
        <v>61231</v>
      </c>
      <c r="K215" s="302">
        <v>73614</v>
      </c>
      <c r="L215" s="302">
        <v>73008</v>
      </c>
      <c r="M215" s="297">
        <v>73311</v>
      </c>
      <c r="N215" s="318"/>
      <c r="O215" s="299"/>
      <c r="P215" s="297"/>
    </row>
    <row r="216" spans="2:16">
      <c r="B216" s="190" t="s">
        <v>99</v>
      </c>
      <c r="C216" s="302">
        <v>0</v>
      </c>
      <c r="D216" s="302">
        <v>12043</v>
      </c>
      <c r="E216" s="302">
        <v>13396</v>
      </c>
      <c r="F216" s="302">
        <v>14426</v>
      </c>
      <c r="G216" s="302">
        <v>16939</v>
      </c>
      <c r="H216" s="302">
        <v>18970</v>
      </c>
      <c r="I216" s="302">
        <v>17371</v>
      </c>
      <c r="J216" s="302">
        <v>15736</v>
      </c>
      <c r="K216" s="302">
        <v>20038</v>
      </c>
      <c r="L216" s="302">
        <v>17783</v>
      </c>
      <c r="M216" s="297">
        <v>18911</v>
      </c>
      <c r="N216" s="318"/>
      <c r="O216" s="299"/>
      <c r="P216" s="297"/>
    </row>
    <row r="217" spans="2:16">
      <c r="B217" s="190" t="s">
        <v>83</v>
      </c>
      <c r="C217" s="302">
        <v>0</v>
      </c>
      <c r="D217" s="302">
        <v>15199</v>
      </c>
      <c r="E217" s="302">
        <v>16538</v>
      </c>
      <c r="F217" s="302">
        <v>19016</v>
      </c>
      <c r="G217" s="302">
        <v>19945</v>
      </c>
      <c r="H217" s="302">
        <v>20342</v>
      </c>
      <c r="I217" s="302">
        <v>21177</v>
      </c>
      <c r="J217" s="302">
        <v>22279</v>
      </c>
      <c r="K217" s="302">
        <v>21426</v>
      </c>
      <c r="L217" s="302">
        <v>21595</v>
      </c>
      <c r="M217" s="297">
        <v>21511</v>
      </c>
      <c r="N217" s="318"/>
      <c r="O217" s="299"/>
      <c r="P217" s="297"/>
    </row>
    <row r="218" spans="2:16">
      <c r="B218" s="190" t="s">
        <v>84</v>
      </c>
      <c r="C218" s="302">
        <v>0</v>
      </c>
      <c r="D218" s="302">
        <v>13617</v>
      </c>
      <c r="E218" s="302">
        <v>14765</v>
      </c>
      <c r="F218" s="302">
        <v>16182</v>
      </c>
      <c r="G218" s="302">
        <v>20202</v>
      </c>
      <c r="H218" s="302">
        <v>21377</v>
      </c>
      <c r="I218" s="302">
        <v>19154</v>
      </c>
      <c r="J218" s="302">
        <v>21914</v>
      </c>
      <c r="K218" s="302">
        <v>21334</v>
      </c>
      <c r="L218" s="302">
        <v>20708</v>
      </c>
      <c r="M218" s="297">
        <v>21021</v>
      </c>
      <c r="N218" s="318"/>
      <c r="O218" s="299"/>
      <c r="P218" s="177"/>
    </row>
    <row r="219" spans="2:16">
      <c r="B219" s="190" t="s">
        <v>85</v>
      </c>
      <c r="C219" s="302">
        <v>0</v>
      </c>
      <c r="D219" s="302">
        <v>12884</v>
      </c>
      <c r="E219" s="302">
        <v>13883</v>
      </c>
      <c r="F219" s="302">
        <v>14849</v>
      </c>
      <c r="G219" s="302">
        <v>17450</v>
      </c>
      <c r="H219" s="302">
        <v>18133</v>
      </c>
      <c r="I219" s="302">
        <v>18282</v>
      </c>
      <c r="J219" s="302">
        <v>19437</v>
      </c>
      <c r="K219" s="302">
        <v>20925</v>
      </c>
      <c r="L219" s="302">
        <v>19449</v>
      </c>
      <c r="M219" s="297">
        <v>20187</v>
      </c>
      <c r="N219" s="318"/>
      <c r="O219" s="299"/>
      <c r="P219" s="177"/>
    </row>
    <row r="220" spans="2:16">
      <c r="B220" s="190" t="s">
        <v>86</v>
      </c>
      <c r="C220" s="302">
        <v>0</v>
      </c>
      <c r="D220" s="302">
        <v>12459</v>
      </c>
      <c r="E220" s="302">
        <v>13618</v>
      </c>
      <c r="F220" s="302">
        <v>15178</v>
      </c>
      <c r="G220" s="302">
        <v>16004</v>
      </c>
      <c r="H220" s="302">
        <v>15153</v>
      </c>
      <c r="I220" s="302">
        <v>17204</v>
      </c>
      <c r="J220" s="302">
        <v>17623</v>
      </c>
      <c r="K220" s="302">
        <v>17458</v>
      </c>
      <c r="L220" s="302">
        <v>18997</v>
      </c>
      <c r="M220" s="297">
        <v>18228</v>
      </c>
      <c r="N220" s="318"/>
      <c r="O220" s="299"/>
      <c r="P220" s="177"/>
    </row>
    <row r="221" spans="2:16">
      <c r="B221" s="190" t="s">
        <v>87</v>
      </c>
      <c r="C221" s="302">
        <v>0</v>
      </c>
      <c r="D221" s="302">
        <v>13307</v>
      </c>
      <c r="E221" s="302">
        <v>14237</v>
      </c>
      <c r="F221" s="302">
        <v>16247</v>
      </c>
      <c r="G221" s="302">
        <v>16009</v>
      </c>
      <c r="H221" s="302">
        <v>14569</v>
      </c>
      <c r="I221" s="302">
        <v>14390</v>
      </c>
      <c r="J221" s="302">
        <v>17035</v>
      </c>
      <c r="K221" s="302">
        <v>15660</v>
      </c>
      <c r="L221" s="302">
        <v>15274</v>
      </c>
      <c r="M221" s="297">
        <v>15467</v>
      </c>
      <c r="N221" s="318"/>
      <c r="O221" s="299"/>
      <c r="P221" s="177"/>
    </row>
    <row r="222" spans="2:16">
      <c r="B222" s="190" t="s">
        <v>88</v>
      </c>
      <c r="C222" s="302">
        <v>0</v>
      </c>
      <c r="D222" s="302">
        <v>12850</v>
      </c>
      <c r="E222" s="302">
        <v>14044</v>
      </c>
      <c r="F222" s="302">
        <v>14350</v>
      </c>
      <c r="G222" s="302">
        <v>15674</v>
      </c>
      <c r="H222" s="302">
        <v>12636</v>
      </c>
      <c r="I222" s="302">
        <v>12970</v>
      </c>
      <c r="J222" s="302">
        <v>13135</v>
      </c>
      <c r="K222" s="302">
        <v>14669</v>
      </c>
      <c r="L222" s="302">
        <v>13207</v>
      </c>
      <c r="M222" s="297">
        <v>13938</v>
      </c>
      <c r="N222" s="318"/>
      <c r="O222" s="299"/>
      <c r="P222" s="177"/>
    </row>
    <row r="223" spans="2:16">
      <c r="B223" s="190" t="s">
        <v>89</v>
      </c>
      <c r="C223" s="302">
        <v>0</v>
      </c>
      <c r="D223" s="302">
        <v>11708</v>
      </c>
      <c r="E223" s="302">
        <v>13064</v>
      </c>
      <c r="F223" s="302">
        <v>14177</v>
      </c>
      <c r="G223" s="302">
        <v>15991</v>
      </c>
      <c r="H223" s="302">
        <v>14149</v>
      </c>
      <c r="I223" s="302">
        <v>12413</v>
      </c>
      <c r="J223" s="302">
        <v>11194</v>
      </c>
      <c r="K223" s="302">
        <v>11028</v>
      </c>
      <c r="L223" s="302">
        <v>11426</v>
      </c>
      <c r="M223" s="297">
        <v>11227</v>
      </c>
      <c r="N223" s="318"/>
      <c r="O223" s="299"/>
      <c r="P223" s="177"/>
    </row>
    <row r="224" spans="2:16">
      <c r="B224" s="190" t="s">
        <v>90</v>
      </c>
      <c r="C224" s="302">
        <v>0</v>
      </c>
      <c r="D224" s="302">
        <v>10270</v>
      </c>
      <c r="E224" s="302">
        <v>11444</v>
      </c>
      <c r="F224" s="302">
        <v>12838</v>
      </c>
      <c r="G224" s="302">
        <v>13748</v>
      </c>
      <c r="H224" s="302">
        <v>12624</v>
      </c>
      <c r="I224" s="302">
        <v>12621</v>
      </c>
      <c r="J224" s="302">
        <v>11599</v>
      </c>
      <c r="K224" s="302">
        <v>8928</v>
      </c>
      <c r="L224" s="302">
        <v>8150</v>
      </c>
      <c r="M224" s="297">
        <v>8539</v>
      </c>
      <c r="N224" s="318"/>
      <c r="O224" s="299"/>
      <c r="P224" s="177"/>
    </row>
    <row r="225" spans="2:16">
      <c r="B225" s="190" t="s">
        <v>91</v>
      </c>
      <c r="C225" s="302">
        <v>0</v>
      </c>
      <c r="D225" s="302">
        <v>7808</v>
      </c>
      <c r="E225" s="302">
        <v>8326</v>
      </c>
      <c r="F225" s="302">
        <v>8903</v>
      </c>
      <c r="G225" s="302">
        <v>11777</v>
      </c>
      <c r="H225" s="302">
        <v>10469</v>
      </c>
      <c r="I225" s="302">
        <v>10230</v>
      </c>
      <c r="J225" s="302">
        <v>10876</v>
      </c>
      <c r="K225" s="302">
        <v>8088</v>
      </c>
      <c r="L225" s="302">
        <v>6896</v>
      </c>
      <c r="M225" s="297">
        <v>7492</v>
      </c>
      <c r="N225" s="318"/>
      <c r="O225" s="299"/>
      <c r="P225" s="177"/>
    </row>
    <row r="226" spans="2:16">
      <c r="B226" s="190" t="s">
        <v>92</v>
      </c>
      <c r="C226" s="302">
        <v>0</v>
      </c>
      <c r="D226" s="302">
        <v>5589</v>
      </c>
      <c r="E226" s="302">
        <v>6045</v>
      </c>
      <c r="F226" s="302">
        <v>5852</v>
      </c>
      <c r="G226" s="302">
        <v>7378</v>
      </c>
      <c r="H226" s="302">
        <v>8338</v>
      </c>
      <c r="I226" s="302">
        <v>7860</v>
      </c>
      <c r="J226" s="302">
        <v>7928</v>
      </c>
      <c r="K226" s="302">
        <v>7006</v>
      </c>
      <c r="L226" s="302">
        <v>6127</v>
      </c>
      <c r="M226" s="297">
        <v>6567</v>
      </c>
      <c r="N226" s="318"/>
      <c r="O226" s="299"/>
      <c r="P226" s="177"/>
    </row>
    <row r="227" spans="2:16">
      <c r="B227" s="190" t="s">
        <v>95</v>
      </c>
      <c r="C227" s="302">
        <v>0</v>
      </c>
      <c r="D227" s="302">
        <v>6339</v>
      </c>
      <c r="E227" s="302">
        <v>6919</v>
      </c>
      <c r="F227" s="302">
        <v>6234</v>
      </c>
      <c r="G227" s="302">
        <v>8584</v>
      </c>
      <c r="H227" s="302">
        <v>9023</v>
      </c>
      <c r="I227" s="302">
        <v>11037</v>
      </c>
      <c r="J227" s="302">
        <v>11649</v>
      </c>
      <c r="K227" s="302">
        <v>11622</v>
      </c>
      <c r="L227" s="302">
        <v>11354</v>
      </c>
      <c r="M227" s="297">
        <v>11488</v>
      </c>
      <c r="N227" s="318"/>
      <c r="O227" s="299"/>
      <c r="P227" s="177"/>
    </row>
    <row r="228" spans="2:16">
      <c r="B228" s="190" t="s">
        <v>96</v>
      </c>
      <c r="C228" s="302">
        <v>0</v>
      </c>
      <c r="D228" s="302">
        <v>699</v>
      </c>
      <c r="E228" s="302">
        <v>763</v>
      </c>
      <c r="F228" s="302">
        <v>687</v>
      </c>
      <c r="G228" s="302">
        <v>946</v>
      </c>
      <c r="H228" s="302">
        <v>995</v>
      </c>
      <c r="I228" s="302">
        <v>1217</v>
      </c>
      <c r="J228" s="302">
        <v>1284</v>
      </c>
      <c r="K228" s="302">
        <v>1281</v>
      </c>
      <c r="L228" s="302">
        <v>1252</v>
      </c>
      <c r="M228" s="297">
        <v>1267</v>
      </c>
      <c r="N228" s="318"/>
      <c r="O228" s="299"/>
      <c r="P228" s="177"/>
    </row>
    <row r="229" spans="2:16">
      <c r="B229" s="190" t="s">
        <v>93</v>
      </c>
      <c r="C229" s="302">
        <v>0</v>
      </c>
      <c r="D229" s="302">
        <v>151</v>
      </c>
      <c r="E229" s="302">
        <v>165</v>
      </c>
      <c r="F229" s="302">
        <v>149</v>
      </c>
      <c r="G229" s="302">
        <v>205</v>
      </c>
      <c r="H229" s="302">
        <v>216</v>
      </c>
      <c r="I229" s="302">
        <v>264</v>
      </c>
      <c r="J229" s="302">
        <v>278</v>
      </c>
      <c r="K229" s="302">
        <v>278</v>
      </c>
      <c r="L229" s="302">
        <v>271</v>
      </c>
      <c r="M229" s="297">
        <v>275</v>
      </c>
      <c r="N229" s="318"/>
      <c r="O229" s="299"/>
      <c r="P229" s="177"/>
    </row>
    <row r="230" spans="2:16">
      <c r="B230" s="190" t="s">
        <v>97</v>
      </c>
      <c r="C230" s="302">
        <v>0</v>
      </c>
      <c r="D230" s="302">
        <v>8</v>
      </c>
      <c r="E230" s="302">
        <v>8</v>
      </c>
      <c r="F230" s="302">
        <v>7</v>
      </c>
      <c r="G230" s="302">
        <v>10</v>
      </c>
      <c r="H230" s="302">
        <v>11</v>
      </c>
      <c r="I230" s="302">
        <v>13</v>
      </c>
      <c r="J230" s="302">
        <v>14</v>
      </c>
      <c r="K230" s="302">
        <v>14</v>
      </c>
      <c r="L230" s="302">
        <v>14</v>
      </c>
      <c r="M230" s="297">
        <v>12</v>
      </c>
      <c r="N230" s="318"/>
      <c r="O230" s="299"/>
      <c r="P230" s="177"/>
    </row>
    <row r="231" spans="2:16">
      <c r="B231" s="207" t="s">
        <v>136</v>
      </c>
      <c r="C231" s="303">
        <v>0</v>
      </c>
      <c r="D231" s="303">
        <v>10</v>
      </c>
      <c r="E231" s="303">
        <v>11</v>
      </c>
      <c r="F231" s="303">
        <v>10</v>
      </c>
      <c r="G231" s="303">
        <v>14</v>
      </c>
      <c r="H231" s="303">
        <v>15</v>
      </c>
      <c r="I231" s="303">
        <v>18</v>
      </c>
      <c r="J231" s="303">
        <v>19</v>
      </c>
      <c r="K231" s="303">
        <v>19</v>
      </c>
      <c r="L231" s="303">
        <v>18</v>
      </c>
      <c r="M231" s="298">
        <v>19</v>
      </c>
      <c r="N231" s="319"/>
      <c r="O231" s="301"/>
      <c r="P231" s="177"/>
    </row>
    <row r="232" spans="2:16" s="172" customFormat="1">
      <c r="C232" s="297"/>
      <c r="D232" s="297"/>
      <c r="E232" s="297"/>
      <c r="F232" s="297"/>
      <c r="G232" s="297"/>
      <c r="H232" s="297"/>
      <c r="I232" s="300"/>
      <c r="J232" s="300"/>
      <c r="K232" s="300"/>
      <c r="L232" s="297"/>
      <c r="M232" s="297"/>
      <c r="N232" s="317"/>
      <c r="O232" s="297"/>
    </row>
    <row r="233" spans="2:16">
      <c r="B233" s="296"/>
      <c r="C233" s="241"/>
      <c r="D233" s="241"/>
      <c r="E233" s="241"/>
      <c r="F233" s="241"/>
      <c r="G233" s="297"/>
      <c r="H233" s="297"/>
      <c r="I233" s="297"/>
      <c r="J233" s="297"/>
      <c r="K233" s="297"/>
      <c r="L233" s="297"/>
      <c r="M233" s="297"/>
      <c r="O233" s="297"/>
      <c r="P233" s="179"/>
    </row>
    <row r="234" spans="2:16">
      <c r="B234" s="217"/>
      <c r="C234" s="179"/>
      <c r="D234" s="179"/>
      <c r="E234" s="179"/>
      <c r="F234" s="179"/>
      <c r="G234" s="179"/>
      <c r="H234" s="179"/>
      <c r="I234" s="179"/>
      <c r="J234" s="179"/>
      <c r="K234" s="179"/>
      <c r="L234" s="179"/>
      <c r="M234" s="177"/>
      <c r="N234" s="318"/>
      <c r="O234" s="177"/>
      <c r="P234" s="179"/>
    </row>
    <row r="235" spans="2:16">
      <c r="B235" s="179"/>
      <c r="C235" s="179"/>
      <c r="D235" s="179"/>
      <c r="E235" s="179"/>
      <c r="F235" s="179"/>
      <c r="G235" s="179"/>
      <c r="H235" s="179"/>
      <c r="I235" s="179"/>
      <c r="J235" s="179"/>
      <c r="K235" s="179"/>
      <c r="L235" s="179"/>
      <c r="M235" s="177"/>
      <c r="N235" s="318"/>
      <c r="O235" s="177"/>
      <c r="P235" s="179"/>
    </row>
    <row r="236" spans="2:16">
      <c r="B236" s="179"/>
      <c r="C236" s="179"/>
      <c r="D236" s="179"/>
      <c r="E236" s="179"/>
      <c r="F236" s="179"/>
      <c r="G236" s="179"/>
      <c r="H236" s="179"/>
      <c r="I236" s="179"/>
      <c r="J236" s="179"/>
      <c r="K236" s="179"/>
      <c r="L236" s="179"/>
      <c r="M236" s="177"/>
      <c r="N236" s="318"/>
      <c r="O236" s="177"/>
      <c r="P236" s="179"/>
    </row>
    <row r="237" spans="2:16">
      <c r="B237" s="188" t="s">
        <v>154</v>
      </c>
      <c r="C237" s="199"/>
      <c r="D237" s="199"/>
      <c r="E237" s="199"/>
      <c r="F237" s="199"/>
      <c r="G237" s="199"/>
      <c r="H237" s="199"/>
      <c r="I237" s="199"/>
      <c r="J237" s="199"/>
      <c r="K237" s="199"/>
      <c r="L237" s="199"/>
      <c r="M237" s="200"/>
      <c r="N237" s="200"/>
      <c r="O237" s="201"/>
      <c r="P237" s="179"/>
    </row>
    <row r="238" spans="2:16">
      <c r="B238" s="190"/>
      <c r="C238" s="179"/>
      <c r="D238" s="179"/>
      <c r="E238" s="179"/>
      <c r="F238" s="179"/>
      <c r="G238" s="179"/>
      <c r="H238" s="179"/>
      <c r="I238" s="177"/>
      <c r="J238" s="177"/>
      <c r="K238" s="177"/>
      <c r="L238" s="177"/>
      <c r="M238" s="177"/>
      <c r="N238" s="318"/>
      <c r="O238" s="178"/>
      <c r="P238" s="179"/>
    </row>
    <row r="239" spans="2:16">
      <c r="B239" s="190"/>
      <c r="C239" s="304" t="s">
        <v>0</v>
      </c>
      <c r="D239" s="304" t="s">
        <v>1</v>
      </c>
      <c r="E239" s="304" t="s">
        <v>2</v>
      </c>
      <c r="F239" s="304" t="s">
        <v>3</v>
      </c>
      <c r="G239" s="304" t="s">
        <v>4</v>
      </c>
      <c r="H239" s="173" t="s">
        <v>5</v>
      </c>
      <c r="I239" s="173" t="s">
        <v>6</v>
      </c>
      <c r="J239" s="173" t="s">
        <v>7</v>
      </c>
      <c r="K239" s="173" t="s">
        <v>8</v>
      </c>
      <c r="L239" s="173">
        <v>2011</v>
      </c>
      <c r="M239" s="173">
        <v>2012</v>
      </c>
      <c r="N239" s="155"/>
      <c r="O239" s="112"/>
      <c r="P239" s="182"/>
    </row>
    <row r="240" spans="2:16">
      <c r="B240" s="211" t="s">
        <v>102</v>
      </c>
      <c r="C240" s="305">
        <v>0</v>
      </c>
      <c r="D240" s="305">
        <v>0</v>
      </c>
      <c r="E240" s="305">
        <v>0</v>
      </c>
      <c r="F240" s="305">
        <v>0</v>
      </c>
      <c r="G240" s="305">
        <v>0</v>
      </c>
      <c r="H240" s="305">
        <v>0</v>
      </c>
      <c r="I240" s="305">
        <v>3829</v>
      </c>
      <c r="J240" s="305">
        <v>3620</v>
      </c>
      <c r="K240" s="305">
        <v>3436</v>
      </c>
      <c r="L240" s="305">
        <v>3497</v>
      </c>
      <c r="M240" s="173">
        <v>3501</v>
      </c>
      <c r="N240" s="318"/>
      <c r="O240" s="178"/>
      <c r="P240" s="182"/>
    </row>
    <row r="241" spans="2:16">
      <c r="B241" s="190" t="s">
        <v>98</v>
      </c>
      <c r="C241" s="305">
        <v>0</v>
      </c>
      <c r="D241" s="305">
        <v>667</v>
      </c>
      <c r="E241" s="305">
        <v>413</v>
      </c>
      <c r="F241" s="305">
        <v>308</v>
      </c>
      <c r="G241" s="305">
        <v>285</v>
      </c>
      <c r="H241" s="305">
        <v>283</v>
      </c>
      <c r="I241" s="305">
        <v>803</v>
      </c>
      <c r="J241" s="305">
        <v>892</v>
      </c>
      <c r="K241" s="305">
        <v>1084</v>
      </c>
      <c r="L241" s="305">
        <v>914</v>
      </c>
      <c r="M241" s="173">
        <v>912</v>
      </c>
      <c r="N241" s="318"/>
      <c r="O241" s="178"/>
      <c r="P241" s="182"/>
    </row>
    <row r="242" spans="2:16">
      <c r="B242" s="190" t="s">
        <v>99</v>
      </c>
      <c r="C242" s="305">
        <v>0</v>
      </c>
      <c r="D242" s="305">
        <v>550</v>
      </c>
      <c r="E242" s="305">
        <v>354</v>
      </c>
      <c r="F242" s="305">
        <v>287</v>
      </c>
      <c r="G242" s="305">
        <v>324</v>
      </c>
      <c r="H242" s="305">
        <v>266</v>
      </c>
      <c r="I242" s="305">
        <v>301</v>
      </c>
      <c r="J242" s="305">
        <v>241</v>
      </c>
      <c r="K242" s="305">
        <v>91</v>
      </c>
      <c r="L242" s="305">
        <v>206</v>
      </c>
      <c r="M242" s="173">
        <v>199</v>
      </c>
      <c r="N242" s="318"/>
      <c r="O242" s="178"/>
      <c r="P242" s="182"/>
    </row>
    <row r="243" spans="2:16">
      <c r="B243" s="190" t="s">
        <v>83</v>
      </c>
      <c r="C243" s="305">
        <v>0</v>
      </c>
      <c r="D243" s="305">
        <v>846</v>
      </c>
      <c r="E243" s="305">
        <v>531</v>
      </c>
      <c r="F243" s="305">
        <v>429</v>
      </c>
      <c r="G243" s="305">
        <v>399</v>
      </c>
      <c r="H243" s="305">
        <v>364</v>
      </c>
      <c r="I243" s="305">
        <v>400</v>
      </c>
      <c r="J243" s="305">
        <v>334</v>
      </c>
      <c r="K243" s="305">
        <v>125</v>
      </c>
      <c r="L243" s="305">
        <v>292</v>
      </c>
      <c r="M243" s="173">
        <v>304</v>
      </c>
      <c r="N243" s="318"/>
      <c r="O243" s="178"/>
      <c r="P243" s="182"/>
    </row>
    <row r="244" spans="2:16">
      <c r="B244" s="190" t="s">
        <v>84</v>
      </c>
      <c r="C244" s="305">
        <v>0</v>
      </c>
      <c r="D244" s="305">
        <v>824</v>
      </c>
      <c r="E244" s="305">
        <v>509</v>
      </c>
      <c r="F244" s="305">
        <v>420</v>
      </c>
      <c r="G244" s="305">
        <v>386</v>
      </c>
      <c r="H244" s="305">
        <v>396</v>
      </c>
      <c r="I244" s="305">
        <v>396</v>
      </c>
      <c r="J244" s="305">
        <v>357</v>
      </c>
      <c r="K244" s="305">
        <v>132</v>
      </c>
      <c r="L244" s="305">
        <v>146</v>
      </c>
      <c r="M244" s="173">
        <v>150</v>
      </c>
      <c r="N244" s="318"/>
      <c r="O244" s="178"/>
      <c r="P244" s="177"/>
    </row>
    <row r="245" spans="2:16">
      <c r="B245" s="190" t="s">
        <v>85</v>
      </c>
      <c r="C245" s="305">
        <v>0</v>
      </c>
      <c r="D245" s="305">
        <v>737</v>
      </c>
      <c r="E245" s="305">
        <v>484</v>
      </c>
      <c r="F245" s="305">
        <v>399</v>
      </c>
      <c r="G245" s="305">
        <v>403</v>
      </c>
      <c r="H245" s="305">
        <v>359</v>
      </c>
      <c r="I245" s="305">
        <v>365</v>
      </c>
      <c r="J245" s="305">
        <v>339</v>
      </c>
      <c r="K245" s="305">
        <v>89</v>
      </c>
      <c r="L245" s="305">
        <v>173</v>
      </c>
      <c r="M245" s="173">
        <v>180</v>
      </c>
      <c r="N245" s="318"/>
      <c r="O245" s="178"/>
      <c r="P245" s="177"/>
    </row>
    <row r="246" spans="2:16">
      <c r="B246" s="190" t="s">
        <v>86</v>
      </c>
      <c r="C246" s="305">
        <v>0</v>
      </c>
      <c r="D246" s="305">
        <v>597</v>
      </c>
      <c r="E246" s="305">
        <v>398</v>
      </c>
      <c r="F246" s="305">
        <v>354</v>
      </c>
      <c r="G246" s="305">
        <v>290</v>
      </c>
      <c r="H246" s="305">
        <v>337</v>
      </c>
      <c r="I246" s="305">
        <v>323</v>
      </c>
      <c r="J246" s="305">
        <v>283</v>
      </c>
      <c r="K246" s="305">
        <v>85</v>
      </c>
      <c r="L246" s="305">
        <v>84</v>
      </c>
      <c r="M246" s="173">
        <v>89</v>
      </c>
      <c r="N246" s="318"/>
      <c r="O246" s="178"/>
      <c r="P246" s="177"/>
    </row>
    <row r="247" spans="2:16">
      <c r="B247" s="190" t="s">
        <v>87</v>
      </c>
      <c r="C247" s="305">
        <v>0</v>
      </c>
      <c r="D247" s="305">
        <v>520</v>
      </c>
      <c r="E247" s="305">
        <v>356</v>
      </c>
      <c r="F247" s="305">
        <v>323</v>
      </c>
      <c r="G247" s="305">
        <v>294</v>
      </c>
      <c r="H247" s="305">
        <v>260</v>
      </c>
      <c r="I247" s="305">
        <v>306</v>
      </c>
      <c r="J247" s="305">
        <v>251</v>
      </c>
      <c r="K247" s="305">
        <v>95</v>
      </c>
      <c r="L247" s="305">
        <v>79</v>
      </c>
      <c r="M247" s="173">
        <v>78</v>
      </c>
      <c r="N247" s="318"/>
      <c r="O247" s="178"/>
      <c r="P247" s="177"/>
    </row>
    <row r="248" spans="2:16">
      <c r="B248" s="190" t="s">
        <v>88</v>
      </c>
      <c r="C248" s="305">
        <v>0</v>
      </c>
      <c r="D248" s="305">
        <v>373</v>
      </c>
      <c r="E248" s="305">
        <v>279</v>
      </c>
      <c r="F248" s="305">
        <v>286</v>
      </c>
      <c r="G248" s="305">
        <v>226</v>
      </c>
      <c r="H248" s="305">
        <v>226</v>
      </c>
      <c r="I248" s="305">
        <v>237</v>
      </c>
      <c r="J248" s="305">
        <v>216</v>
      </c>
      <c r="K248" s="305">
        <v>64</v>
      </c>
      <c r="L248" s="305">
        <v>55</v>
      </c>
      <c r="M248" s="173">
        <v>56</v>
      </c>
      <c r="N248" s="318"/>
      <c r="O248" s="178"/>
      <c r="P248" s="177"/>
    </row>
    <row r="249" spans="2:16">
      <c r="B249" s="190" t="s">
        <v>89</v>
      </c>
      <c r="C249" s="305">
        <v>0</v>
      </c>
      <c r="D249" s="305">
        <v>283</v>
      </c>
      <c r="E249" s="305">
        <v>214</v>
      </c>
      <c r="F249" s="305">
        <v>181</v>
      </c>
      <c r="G249" s="305">
        <v>230</v>
      </c>
      <c r="H249" s="305">
        <v>192</v>
      </c>
      <c r="I249" s="305">
        <v>188</v>
      </c>
      <c r="J249" s="305">
        <v>171</v>
      </c>
      <c r="K249" s="305">
        <v>53</v>
      </c>
      <c r="L249" s="305">
        <v>64</v>
      </c>
      <c r="M249" s="173">
        <v>57</v>
      </c>
      <c r="N249" s="318"/>
      <c r="O249" s="178"/>
      <c r="P249" s="177"/>
    </row>
    <row r="250" spans="2:16">
      <c r="B250" s="190" t="s">
        <v>90</v>
      </c>
      <c r="C250" s="305">
        <v>0</v>
      </c>
      <c r="D250" s="305">
        <v>203</v>
      </c>
      <c r="E250" s="305">
        <v>155</v>
      </c>
      <c r="F250" s="305">
        <v>150</v>
      </c>
      <c r="G250" s="305">
        <v>154</v>
      </c>
      <c r="H250" s="305">
        <v>162</v>
      </c>
      <c r="I250" s="305">
        <v>147</v>
      </c>
      <c r="J250" s="305">
        <v>107</v>
      </c>
      <c r="K250" s="305">
        <v>49</v>
      </c>
      <c r="L250" s="305">
        <v>37</v>
      </c>
      <c r="M250" s="173">
        <v>35</v>
      </c>
      <c r="N250" s="318"/>
      <c r="O250" s="178"/>
      <c r="P250" s="177"/>
    </row>
    <row r="251" spans="2:16">
      <c r="B251" s="190" t="s">
        <v>91</v>
      </c>
      <c r="C251" s="305">
        <v>0</v>
      </c>
      <c r="D251" s="305">
        <v>126</v>
      </c>
      <c r="E251" s="305">
        <v>104</v>
      </c>
      <c r="F251" s="305">
        <v>98</v>
      </c>
      <c r="G251" s="305">
        <v>118</v>
      </c>
      <c r="H251" s="305">
        <v>134</v>
      </c>
      <c r="I251" s="305">
        <v>146</v>
      </c>
      <c r="J251" s="305">
        <v>138</v>
      </c>
      <c r="K251" s="305">
        <v>44</v>
      </c>
      <c r="L251" s="305">
        <v>32</v>
      </c>
      <c r="M251" s="173">
        <v>39</v>
      </c>
      <c r="N251" s="318"/>
      <c r="O251" s="178"/>
      <c r="P251" s="177"/>
    </row>
    <row r="252" spans="2:16">
      <c r="B252" s="190" t="s">
        <v>92</v>
      </c>
      <c r="C252" s="305">
        <v>0</v>
      </c>
      <c r="D252" s="305">
        <v>79</v>
      </c>
      <c r="E252" s="305">
        <v>68</v>
      </c>
      <c r="F252" s="305">
        <v>64</v>
      </c>
      <c r="G252" s="305">
        <v>81</v>
      </c>
      <c r="H252" s="305">
        <v>101</v>
      </c>
      <c r="I252" s="305">
        <v>110</v>
      </c>
      <c r="J252" s="305">
        <v>75</v>
      </c>
      <c r="K252" s="305">
        <v>43</v>
      </c>
      <c r="L252" s="305">
        <v>31</v>
      </c>
      <c r="M252" s="173">
        <v>38</v>
      </c>
      <c r="N252" s="318"/>
      <c r="O252" s="178"/>
      <c r="P252" s="177"/>
    </row>
    <row r="253" spans="2:16">
      <c r="B253" s="190" t="s">
        <v>95</v>
      </c>
      <c r="C253" s="305">
        <v>0</v>
      </c>
      <c r="D253" s="305">
        <v>78</v>
      </c>
      <c r="E253" s="305">
        <v>56</v>
      </c>
      <c r="F253" s="305">
        <v>49</v>
      </c>
      <c r="G253" s="305">
        <v>50</v>
      </c>
      <c r="H253" s="305">
        <v>53</v>
      </c>
      <c r="I253" s="305">
        <v>58</v>
      </c>
      <c r="J253" s="305">
        <v>50</v>
      </c>
      <c r="K253" s="305">
        <v>16</v>
      </c>
      <c r="L253" s="305">
        <v>23</v>
      </c>
      <c r="M253" s="173">
        <v>20</v>
      </c>
      <c r="N253" s="318"/>
      <c r="O253" s="178"/>
      <c r="P253" s="177"/>
    </row>
    <row r="254" spans="2:16">
      <c r="B254" s="190" t="s">
        <v>96</v>
      </c>
      <c r="C254" s="305">
        <v>0</v>
      </c>
      <c r="D254" s="305">
        <v>4</v>
      </c>
      <c r="E254" s="305">
        <v>3</v>
      </c>
      <c r="F254" s="305">
        <v>2</v>
      </c>
      <c r="G254" s="305">
        <v>2</v>
      </c>
      <c r="H254" s="305">
        <v>3</v>
      </c>
      <c r="I254" s="305">
        <v>3</v>
      </c>
      <c r="J254" s="305">
        <v>2</v>
      </c>
      <c r="K254" s="305">
        <v>1</v>
      </c>
      <c r="L254" s="305">
        <v>1</v>
      </c>
      <c r="M254" s="173">
        <v>2</v>
      </c>
      <c r="O254" s="210"/>
      <c r="P254" s="177"/>
    </row>
    <row r="255" spans="2:16">
      <c r="B255" s="190" t="s">
        <v>93</v>
      </c>
      <c r="C255" s="305">
        <v>0</v>
      </c>
      <c r="D255" s="305">
        <v>1</v>
      </c>
      <c r="E255" s="305">
        <v>1</v>
      </c>
      <c r="F255" s="305">
        <v>1</v>
      </c>
      <c r="G255" s="305">
        <v>1</v>
      </c>
      <c r="H255" s="305">
        <v>1</v>
      </c>
      <c r="I255" s="305">
        <v>1</v>
      </c>
      <c r="J255" s="305">
        <v>1</v>
      </c>
      <c r="K255" s="305">
        <v>0</v>
      </c>
      <c r="L255" s="305">
        <v>0</v>
      </c>
      <c r="M255" s="173">
        <v>0</v>
      </c>
      <c r="O255" s="210"/>
      <c r="P255" s="177"/>
    </row>
    <row r="256" spans="2:16">
      <c r="B256" s="190" t="s">
        <v>97</v>
      </c>
      <c r="C256" s="305">
        <v>0</v>
      </c>
      <c r="D256" s="305">
        <v>1</v>
      </c>
      <c r="E256" s="305">
        <v>1</v>
      </c>
      <c r="F256" s="305">
        <v>0</v>
      </c>
      <c r="G256" s="305">
        <v>0</v>
      </c>
      <c r="H256" s="305">
        <v>0</v>
      </c>
      <c r="I256" s="305">
        <v>1</v>
      </c>
      <c r="J256" s="305">
        <v>0</v>
      </c>
      <c r="K256" s="305">
        <v>0</v>
      </c>
      <c r="L256" s="305">
        <v>0</v>
      </c>
      <c r="M256" s="173">
        <v>0</v>
      </c>
      <c r="O256" s="210"/>
      <c r="P256" s="177"/>
    </row>
    <row r="257" spans="2:16">
      <c r="B257" s="207" t="s">
        <v>136</v>
      </c>
      <c r="C257" s="306">
        <v>0</v>
      </c>
      <c r="D257" s="306">
        <v>25</v>
      </c>
      <c r="E257" s="306">
        <v>18</v>
      </c>
      <c r="F257" s="306">
        <v>15</v>
      </c>
      <c r="G257" s="306">
        <v>16</v>
      </c>
      <c r="H257" s="306">
        <v>17</v>
      </c>
      <c r="I257" s="306">
        <v>19</v>
      </c>
      <c r="J257" s="306">
        <v>16</v>
      </c>
      <c r="K257" s="306">
        <v>5</v>
      </c>
      <c r="L257" s="306">
        <v>7</v>
      </c>
      <c r="M257" s="174">
        <v>8</v>
      </c>
      <c r="N257" s="320"/>
      <c r="O257" s="222"/>
      <c r="P257" s="177"/>
    </row>
    <row r="258" spans="2:16">
      <c r="B258" s="217"/>
      <c r="G258" s="173"/>
      <c r="H258" s="173"/>
      <c r="I258" s="173"/>
      <c r="J258" s="173"/>
      <c r="K258" s="173"/>
      <c r="L258" s="173"/>
      <c r="P258" s="179"/>
    </row>
    <row r="259" spans="2:16">
      <c r="B259" s="217"/>
      <c r="G259" s="173"/>
      <c r="H259" s="173"/>
      <c r="I259" s="173"/>
      <c r="J259" s="173"/>
      <c r="K259" s="173"/>
      <c r="L259" s="173"/>
      <c r="P259" s="179"/>
    </row>
    <row r="260" spans="2:16">
      <c r="B260" s="179"/>
      <c r="C260" s="179"/>
      <c r="D260" s="179"/>
      <c r="E260" s="179"/>
      <c r="F260" s="179"/>
      <c r="G260" s="179"/>
      <c r="H260" s="179"/>
      <c r="I260" s="179"/>
      <c r="J260" s="179"/>
      <c r="K260" s="179"/>
      <c r="L260" s="179"/>
      <c r="M260" s="177"/>
      <c r="N260" s="318"/>
      <c r="O260" s="177"/>
      <c r="P260" s="179"/>
    </row>
    <row r="261" spans="2:16">
      <c r="B261" s="179"/>
      <c r="C261" s="179"/>
      <c r="D261" s="179"/>
      <c r="E261" s="179"/>
      <c r="F261" s="179"/>
      <c r="G261" s="179"/>
      <c r="H261" s="179"/>
      <c r="I261" s="179"/>
      <c r="J261" s="179"/>
      <c r="K261" s="179"/>
      <c r="L261" s="179"/>
      <c r="M261" s="177"/>
      <c r="N261" s="318"/>
      <c r="O261" s="177"/>
      <c r="P261" s="179"/>
    </row>
    <row r="262" spans="2:16">
      <c r="B262" s="188" t="s">
        <v>155</v>
      </c>
      <c r="C262" s="199"/>
      <c r="D262" s="199"/>
      <c r="E262" s="199"/>
      <c r="F262" s="199"/>
      <c r="G262" s="199"/>
      <c r="H262" s="199"/>
      <c r="I262" s="199"/>
      <c r="J262" s="199"/>
      <c r="K262" s="199"/>
      <c r="L262" s="199"/>
      <c r="M262" s="200"/>
      <c r="N262" s="200"/>
      <c r="O262" s="201"/>
      <c r="P262" s="179"/>
    </row>
    <row r="263" spans="2:16">
      <c r="B263" s="190"/>
      <c r="C263" s="307"/>
      <c r="D263" s="307"/>
      <c r="E263" s="307"/>
      <c r="F263" s="307"/>
      <c r="G263" s="307"/>
      <c r="H263" s="307"/>
      <c r="I263" s="309"/>
      <c r="J263" s="309"/>
      <c r="K263" s="309"/>
      <c r="L263" s="308"/>
      <c r="M263" s="309"/>
      <c r="N263" s="318"/>
      <c r="O263" s="311"/>
      <c r="P263" s="179"/>
    </row>
    <row r="264" spans="2:16">
      <c r="B264" s="190"/>
      <c r="C264" s="308" t="s">
        <v>0</v>
      </c>
      <c r="D264" s="308" t="s">
        <v>1</v>
      </c>
      <c r="E264" s="308" t="s">
        <v>2</v>
      </c>
      <c r="F264" s="308" t="s">
        <v>3</v>
      </c>
      <c r="G264" s="308" t="s">
        <v>4</v>
      </c>
      <c r="H264" s="308" t="s">
        <v>5</v>
      </c>
      <c r="I264" s="308" t="s">
        <v>6</v>
      </c>
      <c r="J264" s="308" t="s">
        <v>7</v>
      </c>
      <c r="K264" s="308" t="s">
        <v>8</v>
      </c>
      <c r="L264" s="308">
        <v>2011</v>
      </c>
      <c r="M264" s="308">
        <v>2012</v>
      </c>
      <c r="N264" s="155"/>
      <c r="O264" s="112"/>
      <c r="P264" s="177"/>
    </row>
    <row r="265" spans="2:16">
      <c r="B265" s="211" t="s">
        <v>102</v>
      </c>
      <c r="C265" s="312">
        <v>0</v>
      </c>
      <c r="D265" s="312">
        <v>0</v>
      </c>
      <c r="E265" s="312">
        <v>0</v>
      </c>
      <c r="F265" s="312">
        <v>0</v>
      </c>
      <c r="G265" s="312">
        <v>0</v>
      </c>
      <c r="H265" s="312">
        <v>0</v>
      </c>
      <c r="I265" s="312">
        <v>20327</v>
      </c>
      <c r="J265" s="312">
        <v>26652</v>
      </c>
      <c r="K265" s="312">
        <v>28371</v>
      </c>
      <c r="L265" s="312">
        <v>28482</v>
      </c>
      <c r="M265" s="308">
        <v>28427</v>
      </c>
      <c r="N265" s="318"/>
      <c r="O265" s="311"/>
      <c r="P265" s="177"/>
    </row>
    <row r="266" spans="2:16">
      <c r="B266" s="190" t="s">
        <v>98</v>
      </c>
      <c r="C266" s="312">
        <v>0</v>
      </c>
      <c r="D266" s="312">
        <v>1028</v>
      </c>
      <c r="E266" s="312">
        <v>1481</v>
      </c>
      <c r="F266" s="312">
        <v>1697</v>
      </c>
      <c r="G266" s="312">
        <v>2236</v>
      </c>
      <c r="H266" s="312">
        <v>2338</v>
      </c>
      <c r="I266" s="312">
        <v>2174</v>
      </c>
      <c r="J266" s="312">
        <v>1854</v>
      </c>
      <c r="K266" s="312">
        <v>2026</v>
      </c>
      <c r="L266" s="312">
        <v>2007</v>
      </c>
      <c r="M266" s="308">
        <v>2017</v>
      </c>
      <c r="N266" s="318"/>
      <c r="O266" s="311"/>
      <c r="P266" s="177"/>
    </row>
    <row r="267" spans="2:16">
      <c r="B267" s="190" t="s">
        <v>99</v>
      </c>
      <c r="C267" s="312">
        <v>0</v>
      </c>
      <c r="D267" s="312">
        <v>580</v>
      </c>
      <c r="E267" s="312">
        <v>909</v>
      </c>
      <c r="F267" s="312">
        <v>1000</v>
      </c>
      <c r="G267" s="312">
        <v>1250</v>
      </c>
      <c r="H267" s="312">
        <v>1350</v>
      </c>
      <c r="I267" s="312">
        <v>1389</v>
      </c>
      <c r="J267" s="312">
        <v>1256</v>
      </c>
      <c r="K267" s="312">
        <v>1353</v>
      </c>
      <c r="L267" s="312">
        <v>1363</v>
      </c>
      <c r="M267" s="308">
        <v>1358</v>
      </c>
      <c r="N267" s="318"/>
      <c r="O267" s="311"/>
      <c r="P267" s="177"/>
    </row>
    <row r="268" spans="2:16">
      <c r="B268" s="190" t="s">
        <v>83</v>
      </c>
      <c r="C268" s="312">
        <v>0</v>
      </c>
      <c r="D268" s="312">
        <v>1357</v>
      </c>
      <c r="E268" s="312">
        <v>1871</v>
      </c>
      <c r="F268" s="312">
        <v>2034</v>
      </c>
      <c r="G268" s="312">
        <v>2529</v>
      </c>
      <c r="H268" s="312">
        <v>2564</v>
      </c>
      <c r="I268" s="312">
        <v>2557</v>
      </c>
      <c r="J268" s="312">
        <v>2375</v>
      </c>
      <c r="K268" s="312">
        <v>2465</v>
      </c>
      <c r="L268" s="312">
        <v>2517</v>
      </c>
      <c r="M268" s="308">
        <v>2491</v>
      </c>
      <c r="N268" s="318"/>
      <c r="O268" s="311"/>
      <c r="P268" s="177"/>
    </row>
    <row r="269" spans="2:16">
      <c r="B269" s="190" t="s">
        <v>84</v>
      </c>
      <c r="C269" s="312">
        <v>0</v>
      </c>
      <c r="D269" s="312">
        <v>1256</v>
      </c>
      <c r="E269" s="312">
        <v>1773</v>
      </c>
      <c r="F269" s="312">
        <v>1815</v>
      </c>
      <c r="G269" s="312">
        <v>2500</v>
      </c>
      <c r="H269" s="312">
        <v>2431</v>
      </c>
      <c r="I269" s="312">
        <v>2321</v>
      </c>
      <c r="J269" s="312">
        <v>2287</v>
      </c>
      <c r="K269" s="312">
        <v>2435</v>
      </c>
      <c r="L269" s="312">
        <v>2157</v>
      </c>
      <c r="M269" s="308">
        <v>2296</v>
      </c>
      <c r="N269" s="318"/>
      <c r="O269" s="311"/>
      <c r="P269" s="177"/>
    </row>
    <row r="270" spans="2:16">
      <c r="B270" s="190" t="s">
        <v>85</v>
      </c>
      <c r="C270" s="312">
        <v>0</v>
      </c>
      <c r="D270" s="312">
        <v>1208</v>
      </c>
      <c r="E270" s="312">
        <v>1614</v>
      </c>
      <c r="F270" s="312">
        <v>1678</v>
      </c>
      <c r="G270" s="312">
        <v>2218</v>
      </c>
      <c r="H270" s="312">
        <v>2250</v>
      </c>
      <c r="I270" s="312">
        <v>2251</v>
      </c>
      <c r="J270" s="312">
        <v>1986</v>
      </c>
      <c r="K270" s="312">
        <v>2212</v>
      </c>
      <c r="L270" s="312">
        <v>1948</v>
      </c>
      <c r="M270" s="308">
        <v>2080</v>
      </c>
      <c r="N270" s="318"/>
      <c r="O270" s="311"/>
      <c r="P270" s="177"/>
    </row>
    <row r="271" spans="2:16">
      <c r="B271" s="190" t="s">
        <v>86</v>
      </c>
      <c r="C271" s="312">
        <v>0</v>
      </c>
      <c r="D271" s="312">
        <v>997</v>
      </c>
      <c r="E271" s="312">
        <v>1379</v>
      </c>
      <c r="F271" s="312">
        <v>1392</v>
      </c>
      <c r="G271" s="312">
        <v>1774</v>
      </c>
      <c r="H271" s="312">
        <v>1731</v>
      </c>
      <c r="I271" s="312">
        <v>1868</v>
      </c>
      <c r="J271" s="312">
        <v>1699</v>
      </c>
      <c r="K271" s="312">
        <v>1760</v>
      </c>
      <c r="L271" s="312">
        <v>1611</v>
      </c>
      <c r="M271" s="308">
        <v>1686</v>
      </c>
      <c r="N271" s="318"/>
      <c r="O271" s="311"/>
      <c r="P271" s="177"/>
    </row>
    <row r="272" spans="2:16">
      <c r="B272" s="190" t="s">
        <v>87</v>
      </c>
      <c r="C272" s="312">
        <v>0</v>
      </c>
      <c r="D272" s="312">
        <v>822</v>
      </c>
      <c r="E272" s="312">
        <v>1111</v>
      </c>
      <c r="F272" s="312">
        <v>1272</v>
      </c>
      <c r="G272" s="312">
        <v>1528</v>
      </c>
      <c r="H272" s="312">
        <v>1556</v>
      </c>
      <c r="I272" s="312">
        <v>1393</v>
      </c>
      <c r="J272" s="312">
        <v>1420</v>
      </c>
      <c r="K272" s="312">
        <v>1400</v>
      </c>
      <c r="L272" s="312">
        <v>1237</v>
      </c>
      <c r="M272" s="308">
        <v>1319</v>
      </c>
      <c r="N272" s="318"/>
      <c r="O272" s="311"/>
      <c r="P272" s="177"/>
    </row>
    <row r="273" spans="2:16">
      <c r="B273" s="190" t="s">
        <v>88</v>
      </c>
      <c r="C273" s="312">
        <v>0</v>
      </c>
      <c r="D273" s="312">
        <v>682</v>
      </c>
      <c r="E273" s="312">
        <v>912</v>
      </c>
      <c r="F273" s="312">
        <v>1073</v>
      </c>
      <c r="G273" s="312">
        <v>1327</v>
      </c>
      <c r="H273" s="312">
        <v>192</v>
      </c>
      <c r="I273" s="312">
        <v>1127</v>
      </c>
      <c r="J273" s="312">
        <v>1003</v>
      </c>
      <c r="K273" s="312">
        <v>1075</v>
      </c>
      <c r="L273" s="312">
        <v>868</v>
      </c>
      <c r="M273" s="308">
        <v>972</v>
      </c>
      <c r="N273" s="318"/>
      <c r="O273" s="311"/>
      <c r="P273" s="177"/>
    </row>
    <row r="274" spans="2:16">
      <c r="B274" s="190" t="s">
        <v>89</v>
      </c>
      <c r="C274" s="312">
        <v>0</v>
      </c>
      <c r="D274" s="312">
        <v>466</v>
      </c>
      <c r="E274" s="312">
        <v>678</v>
      </c>
      <c r="F274" s="312">
        <v>884</v>
      </c>
      <c r="G274" s="312">
        <v>1125</v>
      </c>
      <c r="H274" s="312">
        <v>1215</v>
      </c>
      <c r="I274" s="312">
        <v>970</v>
      </c>
      <c r="J274" s="312">
        <v>812</v>
      </c>
      <c r="K274" s="312">
        <v>774</v>
      </c>
      <c r="L274" s="312">
        <v>666</v>
      </c>
      <c r="M274" s="308">
        <v>720</v>
      </c>
      <c r="N274" s="318"/>
      <c r="O274" s="311"/>
      <c r="P274" s="177"/>
    </row>
    <row r="275" spans="2:16">
      <c r="B275" s="190" t="s">
        <v>90</v>
      </c>
      <c r="C275" s="312">
        <v>0</v>
      </c>
      <c r="D275" s="312">
        <v>366</v>
      </c>
      <c r="E275" s="312">
        <v>511</v>
      </c>
      <c r="F275" s="312">
        <v>632</v>
      </c>
      <c r="G275" s="312">
        <v>787</v>
      </c>
      <c r="H275" s="312">
        <v>817</v>
      </c>
      <c r="I275" s="312">
        <v>740</v>
      </c>
      <c r="J275" s="312">
        <v>635</v>
      </c>
      <c r="K275" s="312">
        <v>578</v>
      </c>
      <c r="L275" s="312">
        <v>495</v>
      </c>
      <c r="M275" s="308">
        <v>537</v>
      </c>
      <c r="N275" s="318"/>
      <c r="O275" s="311"/>
      <c r="P275" s="177"/>
    </row>
    <row r="276" spans="2:16">
      <c r="B276" s="190" t="s">
        <v>91</v>
      </c>
      <c r="C276" s="312">
        <v>0</v>
      </c>
      <c r="D276" s="312">
        <v>223</v>
      </c>
      <c r="E276" s="312">
        <v>329</v>
      </c>
      <c r="F276" s="312">
        <v>371</v>
      </c>
      <c r="G276" s="312">
        <v>607</v>
      </c>
      <c r="H276" s="312">
        <v>688</v>
      </c>
      <c r="I276" s="312">
        <v>619</v>
      </c>
      <c r="J276" s="312">
        <v>520</v>
      </c>
      <c r="K276" s="312">
        <v>465</v>
      </c>
      <c r="L276" s="312">
        <v>332</v>
      </c>
      <c r="M276" s="308">
        <v>399</v>
      </c>
      <c r="N276" s="318"/>
      <c r="O276" s="311"/>
      <c r="P276" s="177"/>
    </row>
    <row r="277" spans="2:16">
      <c r="B277" s="190" t="s">
        <v>92</v>
      </c>
      <c r="C277" s="312">
        <v>0</v>
      </c>
      <c r="D277" s="312">
        <v>149</v>
      </c>
      <c r="E277" s="312">
        <v>227</v>
      </c>
      <c r="F277" s="312">
        <v>293</v>
      </c>
      <c r="G277" s="312">
        <v>445</v>
      </c>
      <c r="H277" s="312">
        <v>555</v>
      </c>
      <c r="I277" s="312">
        <v>533</v>
      </c>
      <c r="J277" s="312">
        <v>447</v>
      </c>
      <c r="K277" s="312">
        <v>388</v>
      </c>
      <c r="L277" s="312">
        <v>260</v>
      </c>
      <c r="M277" s="308">
        <v>324</v>
      </c>
      <c r="N277" s="318"/>
      <c r="O277" s="311"/>
      <c r="P277" s="177"/>
    </row>
    <row r="278" spans="2:16">
      <c r="B278" s="190" t="s">
        <v>95</v>
      </c>
      <c r="C278" s="312">
        <v>0</v>
      </c>
      <c r="D278" s="312">
        <v>70</v>
      </c>
      <c r="E278" s="312">
        <v>97</v>
      </c>
      <c r="F278" s="312">
        <v>94</v>
      </c>
      <c r="G278" s="312">
        <v>140</v>
      </c>
      <c r="H278" s="312">
        <v>179</v>
      </c>
      <c r="I278" s="312">
        <v>191</v>
      </c>
      <c r="J278" s="312">
        <v>190</v>
      </c>
      <c r="K278" s="312">
        <v>207</v>
      </c>
      <c r="L278" s="312">
        <v>188</v>
      </c>
      <c r="M278" s="308">
        <v>198</v>
      </c>
      <c r="O278" s="210"/>
      <c r="P278" s="177"/>
    </row>
    <row r="279" spans="2:16">
      <c r="B279" s="190" t="s">
        <v>96</v>
      </c>
      <c r="C279" s="312">
        <v>0</v>
      </c>
      <c r="D279" s="312">
        <v>51</v>
      </c>
      <c r="E279" s="312">
        <v>70</v>
      </c>
      <c r="F279" s="312">
        <v>68</v>
      </c>
      <c r="G279" s="312">
        <v>101</v>
      </c>
      <c r="H279" s="312">
        <v>129</v>
      </c>
      <c r="I279" s="312">
        <v>138</v>
      </c>
      <c r="J279" s="312">
        <v>137</v>
      </c>
      <c r="K279" s="312">
        <v>149</v>
      </c>
      <c r="L279" s="312">
        <v>136</v>
      </c>
      <c r="M279" s="308">
        <v>143</v>
      </c>
      <c r="O279" s="210"/>
      <c r="P279" s="177"/>
    </row>
    <row r="280" spans="2:16">
      <c r="B280" s="190" t="s">
        <v>93</v>
      </c>
      <c r="C280" s="312">
        <v>0</v>
      </c>
      <c r="D280" s="312">
        <v>33</v>
      </c>
      <c r="E280" s="312">
        <v>45</v>
      </c>
      <c r="F280" s="312">
        <v>44</v>
      </c>
      <c r="G280" s="312">
        <v>65</v>
      </c>
      <c r="H280" s="312">
        <v>83</v>
      </c>
      <c r="I280" s="312">
        <v>89</v>
      </c>
      <c r="J280" s="312">
        <v>89</v>
      </c>
      <c r="K280" s="312">
        <v>96</v>
      </c>
      <c r="L280" s="312">
        <v>87</v>
      </c>
      <c r="M280" s="308">
        <v>92</v>
      </c>
      <c r="O280" s="210"/>
      <c r="P280" s="177"/>
    </row>
    <row r="281" spans="2:16">
      <c r="B281" s="190" t="s">
        <v>97</v>
      </c>
      <c r="C281" s="312">
        <v>0</v>
      </c>
      <c r="D281" s="312">
        <v>18</v>
      </c>
      <c r="E281" s="312">
        <v>25</v>
      </c>
      <c r="F281" s="312">
        <v>24</v>
      </c>
      <c r="G281" s="312">
        <v>36</v>
      </c>
      <c r="H281" s="312">
        <v>46</v>
      </c>
      <c r="I281" s="312">
        <v>49</v>
      </c>
      <c r="J281" s="312">
        <v>49</v>
      </c>
      <c r="K281" s="312">
        <v>53</v>
      </c>
      <c r="L281" s="312">
        <v>48</v>
      </c>
      <c r="M281" s="308">
        <v>51</v>
      </c>
      <c r="O281" s="210"/>
      <c r="P281" s="177"/>
    </row>
    <row r="282" spans="2:16">
      <c r="B282" s="207" t="s">
        <v>136</v>
      </c>
      <c r="C282" s="313">
        <v>0</v>
      </c>
      <c r="D282" s="313">
        <v>25</v>
      </c>
      <c r="E282" s="313">
        <v>35</v>
      </c>
      <c r="F282" s="313">
        <v>34</v>
      </c>
      <c r="G282" s="313">
        <v>50</v>
      </c>
      <c r="H282" s="313">
        <v>64</v>
      </c>
      <c r="I282" s="313">
        <v>69</v>
      </c>
      <c r="J282" s="313">
        <v>69</v>
      </c>
      <c r="K282" s="313">
        <v>74</v>
      </c>
      <c r="L282" s="313">
        <v>68</v>
      </c>
      <c r="M282" s="310">
        <v>71</v>
      </c>
      <c r="N282" s="320"/>
      <c r="O282" s="222"/>
      <c r="P282" s="177"/>
    </row>
    <row r="283" spans="2:16" s="172" customFormat="1">
      <c r="B283" s="217"/>
      <c r="C283" s="308"/>
      <c r="D283" s="308"/>
      <c r="E283" s="308"/>
      <c r="F283" s="308"/>
      <c r="G283" s="308"/>
      <c r="H283" s="308"/>
      <c r="I283" s="308"/>
      <c r="J283" s="308"/>
      <c r="K283" s="308"/>
      <c r="L283" s="308"/>
      <c r="M283" s="308"/>
      <c r="N283" s="317"/>
      <c r="O283" s="308"/>
      <c r="P283" s="308"/>
    </row>
    <row r="284" spans="2:16" s="172" customFormat="1">
      <c r="B284" s="167"/>
      <c r="M284" s="308"/>
      <c r="N284" s="317"/>
      <c r="O284" s="308"/>
    </row>
    <row r="285" spans="2:16">
      <c r="B285" s="179"/>
      <c r="C285" s="179"/>
      <c r="D285" s="179"/>
      <c r="E285" s="179"/>
      <c r="F285" s="179"/>
      <c r="G285" s="179"/>
      <c r="H285" s="179"/>
      <c r="I285" s="179"/>
      <c r="J285" s="179"/>
      <c r="K285" s="179"/>
      <c r="L285" s="179"/>
      <c r="M285" s="177"/>
      <c r="N285" s="318"/>
      <c r="O285" s="177"/>
      <c r="P285" s="179"/>
    </row>
    <row r="286" spans="2:16">
      <c r="B286" s="225" t="s">
        <v>156</v>
      </c>
      <c r="C286" s="169"/>
      <c r="D286" s="169"/>
      <c r="E286" s="169"/>
      <c r="F286" s="169"/>
      <c r="G286" s="169"/>
      <c r="H286" s="169"/>
      <c r="I286" s="169"/>
      <c r="J286" s="169"/>
      <c r="K286" s="169"/>
      <c r="L286" s="169"/>
      <c r="M286" s="169"/>
      <c r="N286" s="170"/>
      <c r="O286" s="169" t="s">
        <v>100</v>
      </c>
      <c r="P286" s="226">
        <f>SUM(D289:P306)</f>
        <v>9</v>
      </c>
    </row>
    <row r="287" spans="2:16">
      <c r="B287" s="182"/>
      <c r="M287" s="172"/>
      <c r="O287" s="317"/>
      <c r="P287" s="210"/>
    </row>
    <row r="288" spans="2:16">
      <c r="B288" s="182"/>
      <c r="D288" s="328">
        <v>2002</v>
      </c>
      <c r="E288" s="328">
        <v>2003</v>
      </c>
      <c r="F288" s="328">
        <v>2004</v>
      </c>
      <c r="G288" s="328">
        <v>2005</v>
      </c>
      <c r="H288" s="328">
        <v>2006</v>
      </c>
      <c r="I288" s="328">
        <v>2007</v>
      </c>
      <c r="J288" s="328">
        <v>2008</v>
      </c>
      <c r="K288" s="328">
        <v>2009</v>
      </c>
      <c r="L288" s="328">
        <v>2010</v>
      </c>
      <c r="M288" s="328">
        <v>2011</v>
      </c>
      <c r="N288" s="328">
        <v>2012</v>
      </c>
      <c r="O288" s="155"/>
      <c r="P288" s="112"/>
    </row>
    <row r="289" spans="2:16">
      <c r="B289" s="227" t="s">
        <v>102</v>
      </c>
      <c r="D289" s="323">
        <f>D309+D327+D345+D363+D381+D399+D417+D435+D453+D471+D489+D507+D525+D543+D561+D579</f>
        <v>0</v>
      </c>
      <c r="E289" s="323">
        <f t="shared" ref="E289:N289" si="40">E309+E327+E345+E363+E381+E399+E417+E435+E453+E471+E489+E507+E525+E543+E561+E579</f>
        <v>0</v>
      </c>
      <c r="F289" s="323">
        <f t="shared" si="40"/>
        <v>0</v>
      </c>
      <c r="G289" s="323">
        <f t="shared" si="40"/>
        <v>0</v>
      </c>
      <c r="H289" s="323">
        <f t="shared" si="40"/>
        <v>0</v>
      </c>
      <c r="I289" s="323">
        <f t="shared" si="40"/>
        <v>0</v>
      </c>
      <c r="J289" s="323">
        <f t="shared" si="40"/>
        <v>0</v>
      </c>
      <c r="K289" s="323">
        <f t="shared" si="40"/>
        <v>0</v>
      </c>
      <c r="L289" s="323">
        <f t="shared" si="40"/>
        <v>0</v>
      </c>
      <c r="M289" s="323">
        <f t="shared" si="40"/>
        <v>0</v>
      </c>
      <c r="N289" s="323">
        <f t="shared" si="40"/>
        <v>0</v>
      </c>
      <c r="O289" s="317"/>
      <c r="P289" s="210"/>
    </row>
    <row r="290" spans="2:16">
      <c r="B290" s="182" t="s">
        <v>98</v>
      </c>
      <c r="D290" s="323">
        <f t="shared" ref="D290:N290" si="41">D310+D328+D346+D364+D382+D400+D418+D436+D454+D472+D490+D508+D526+D544+D562+D580</f>
        <v>0</v>
      </c>
      <c r="E290" s="323">
        <f t="shared" si="41"/>
        <v>0</v>
      </c>
      <c r="F290" s="323">
        <f t="shared" si="41"/>
        <v>0</v>
      </c>
      <c r="G290" s="323">
        <f t="shared" si="41"/>
        <v>0</v>
      </c>
      <c r="H290" s="323">
        <f t="shared" si="41"/>
        <v>0</v>
      </c>
      <c r="I290" s="323">
        <f t="shared" si="41"/>
        <v>0</v>
      </c>
      <c r="J290" s="323">
        <f t="shared" si="41"/>
        <v>0</v>
      </c>
      <c r="K290" s="323">
        <f t="shared" si="41"/>
        <v>0</v>
      </c>
      <c r="L290" s="323">
        <f t="shared" si="41"/>
        <v>0</v>
      </c>
      <c r="M290" s="323">
        <f t="shared" si="41"/>
        <v>0</v>
      </c>
      <c r="N290" s="323">
        <f t="shared" si="41"/>
        <v>0</v>
      </c>
      <c r="O290" s="317"/>
      <c r="P290" s="210"/>
    </row>
    <row r="291" spans="2:16">
      <c r="B291" s="182" t="s">
        <v>99</v>
      </c>
      <c r="D291" s="323">
        <f t="shared" ref="D291:N291" si="42">D311+D329+D347+D365+D383+D401+D419+D437+D455+D473+D491+D509+D527+D545+D563+D581</f>
        <v>0</v>
      </c>
      <c r="E291" s="323">
        <f t="shared" si="42"/>
        <v>0</v>
      </c>
      <c r="F291" s="323">
        <f t="shared" si="42"/>
        <v>0</v>
      </c>
      <c r="G291" s="323">
        <f t="shared" si="42"/>
        <v>0</v>
      </c>
      <c r="H291" s="323">
        <f t="shared" si="42"/>
        <v>0</v>
      </c>
      <c r="I291" s="323">
        <f t="shared" si="42"/>
        <v>0</v>
      </c>
      <c r="J291" s="323">
        <f t="shared" si="42"/>
        <v>0</v>
      </c>
      <c r="K291" s="323">
        <f t="shared" si="42"/>
        <v>0</v>
      </c>
      <c r="L291" s="323">
        <f t="shared" si="42"/>
        <v>0</v>
      </c>
      <c r="M291" s="323">
        <f t="shared" si="42"/>
        <v>0</v>
      </c>
      <c r="N291" s="323">
        <f t="shared" si="42"/>
        <v>0</v>
      </c>
      <c r="O291" s="317"/>
      <c r="P291" s="210"/>
    </row>
    <row r="292" spans="2:16">
      <c r="B292" s="182" t="s">
        <v>83</v>
      </c>
      <c r="D292" s="323">
        <f t="shared" ref="D292:N292" si="43">D312+D330+D348+D366+D384+D402+D420+D438+D456+D474+D492+D510+D528+D546+D564+D582</f>
        <v>0</v>
      </c>
      <c r="E292" s="323">
        <f t="shared" si="43"/>
        <v>0</v>
      </c>
      <c r="F292" s="323">
        <f t="shared" si="43"/>
        <v>0</v>
      </c>
      <c r="G292" s="323">
        <f t="shared" si="43"/>
        <v>0</v>
      </c>
      <c r="H292" s="323">
        <f t="shared" si="43"/>
        <v>0</v>
      </c>
      <c r="I292" s="323">
        <f t="shared" si="43"/>
        <v>0</v>
      </c>
      <c r="J292" s="323">
        <f t="shared" si="43"/>
        <v>0</v>
      </c>
      <c r="K292" s="323">
        <f t="shared" si="43"/>
        <v>0</v>
      </c>
      <c r="L292" s="323">
        <f t="shared" si="43"/>
        <v>0</v>
      </c>
      <c r="M292" s="323">
        <f t="shared" si="43"/>
        <v>0</v>
      </c>
      <c r="N292" s="323">
        <f t="shared" si="43"/>
        <v>0</v>
      </c>
      <c r="O292" s="317"/>
      <c r="P292" s="210"/>
    </row>
    <row r="293" spans="2:16">
      <c r="B293" s="182" t="s">
        <v>84</v>
      </c>
      <c r="D293" s="323">
        <f t="shared" ref="D293:N293" si="44">D313+D331+D349+D367+D385+D403+D421+D439+D457+D475+D493+D511+D529+D547+D565+D583</f>
        <v>0</v>
      </c>
      <c r="E293" s="323">
        <f t="shared" si="44"/>
        <v>0</v>
      </c>
      <c r="F293" s="323">
        <f t="shared" si="44"/>
        <v>0</v>
      </c>
      <c r="G293" s="323">
        <f t="shared" si="44"/>
        <v>0</v>
      </c>
      <c r="H293" s="323">
        <f t="shared" si="44"/>
        <v>0</v>
      </c>
      <c r="I293" s="323">
        <f t="shared" si="44"/>
        <v>0</v>
      </c>
      <c r="J293" s="323">
        <f t="shared" si="44"/>
        <v>0</v>
      </c>
      <c r="K293" s="323">
        <f t="shared" si="44"/>
        <v>0</v>
      </c>
      <c r="L293" s="323">
        <f t="shared" si="44"/>
        <v>0</v>
      </c>
      <c r="M293" s="323">
        <f t="shared" si="44"/>
        <v>0</v>
      </c>
      <c r="N293" s="323">
        <f t="shared" si="44"/>
        <v>0</v>
      </c>
      <c r="O293" s="317"/>
      <c r="P293" s="210"/>
    </row>
    <row r="294" spans="2:16">
      <c r="B294" s="182" t="s">
        <v>85</v>
      </c>
      <c r="D294" s="323">
        <f t="shared" ref="D294:N294" si="45">D314+D332+D350+D368+D386+D404+D422+D440+D458+D476+D494+D512+D530+D548+D566+D584</f>
        <v>0</v>
      </c>
      <c r="E294" s="323">
        <f t="shared" si="45"/>
        <v>1</v>
      </c>
      <c r="F294" s="323">
        <f t="shared" si="45"/>
        <v>0</v>
      </c>
      <c r="G294" s="323">
        <f t="shared" si="45"/>
        <v>0</v>
      </c>
      <c r="H294" s="323">
        <f t="shared" si="45"/>
        <v>0</v>
      </c>
      <c r="I294" s="323">
        <f t="shared" si="45"/>
        <v>0</v>
      </c>
      <c r="J294" s="323">
        <f t="shared" si="45"/>
        <v>0</v>
      </c>
      <c r="K294" s="323">
        <f t="shared" si="45"/>
        <v>0</v>
      </c>
      <c r="L294" s="323">
        <f t="shared" si="45"/>
        <v>0</v>
      </c>
      <c r="M294" s="323">
        <f t="shared" si="45"/>
        <v>0</v>
      </c>
      <c r="N294" s="323">
        <f t="shared" si="45"/>
        <v>0</v>
      </c>
      <c r="O294" s="317"/>
      <c r="P294" s="210"/>
    </row>
    <row r="295" spans="2:16">
      <c r="B295" s="182" t="s">
        <v>86</v>
      </c>
      <c r="D295" s="323">
        <f t="shared" ref="D295:N295" si="46">D315+D333+D351+D369+D387+D405+D423+D441+D459+D477+D495+D513+D531+D549+D567+D585</f>
        <v>0</v>
      </c>
      <c r="E295" s="323">
        <f t="shared" si="46"/>
        <v>0</v>
      </c>
      <c r="F295" s="323">
        <f t="shared" si="46"/>
        <v>0</v>
      </c>
      <c r="G295" s="323">
        <f t="shared" si="46"/>
        <v>0</v>
      </c>
      <c r="H295" s="323">
        <f t="shared" si="46"/>
        <v>1</v>
      </c>
      <c r="I295" s="323">
        <f t="shared" si="46"/>
        <v>0</v>
      </c>
      <c r="J295" s="323">
        <f t="shared" si="46"/>
        <v>0</v>
      </c>
      <c r="K295" s="323">
        <f t="shared" si="46"/>
        <v>0</v>
      </c>
      <c r="L295" s="323">
        <f t="shared" si="46"/>
        <v>0</v>
      </c>
      <c r="M295" s="323">
        <f t="shared" si="46"/>
        <v>0</v>
      </c>
      <c r="N295" s="323">
        <f t="shared" si="46"/>
        <v>0</v>
      </c>
      <c r="O295" s="317"/>
      <c r="P295" s="210"/>
    </row>
    <row r="296" spans="2:16">
      <c r="B296" s="182" t="s">
        <v>87</v>
      </c>
      <c r="D296" s="323">
        <f t="shared" ref="D296:N296" si="47">D316+D334+D352+D370+D388+D406+D424+D442+D460+D478+D496+D514+D532+D550+D568+D586</f>
        <v>0</v>
      </c>
      <c r="E296" s="323">
        <f t="shared" si="47"/>
        <v>1</v>
      </c>
      <c r="F296" s="323">
        <f t="shared" si="47"/>
        <v>0</v>
      </c>
      <c r="G296" s="323">
        <f t="shared" si="47"/>
        <v>0</v>
      </c>
      <c r="H296" s="323">
        <f t="shared" si="47"/>
        <v>0</v>
      </c>
      <c r="I296" s="323">
        <f t="shared" si="47"/>
        <v>1</v>
      </c>
      <c r="J296" s="323">
        <f t="shared" si="47"/>
        <v>0</v>
      </c>
      <c r="K296" s="323">
        <f t="shared" si="47"/>
        <v>0</v>
      </c>
      <c r="L296" s="323">
        <f t="shared" si="47"/>
        <v>0</v>
      </c>
      <c r="M296" s="323">
        <f t="shared" si="47"/>
        <v>0</v>
      </c>
      <c r="N296" s="323">
        <f t="shared" si="47"/>
        <v>0</v>
      </c>
      <c r="O296" s="317"/>
      <c r="P296" s="210"/>
    </row>
    <row r="297" spans="2:16">
      <c r="B297" s="182" t="s">
        <v>88</v>
      </c>
      <c r="D297" s="323">
        <f t="shared" ref="D297:N297" si="48">D317+D335+D353+D371+D389+D407+D425+D443+D461+D479+D497+D515+D533+D551+D569+D587</f>
        <v>0</v>
      </c>
      <c r="E297" s="323">
        <f t="shared" si="48"/>
        <v>0</v>
      </c>
      <c r="F297" s="323">
        <f t="shared" si="48"/>
        <v>0</v>
      </c>
      <c r="G297" s="323">
        <f t="shared" si="48"/>
        <v>0</v>
      </c>
      <c r="H297" s="323">
        <f t="shared" si="48"/>
        <v>0</v>
      </c>
      <c r="I297" s="323">
        <f t="shared" si="48"/>
        <v>0</v>
      </c>
      <c r="J297" s="323">
        <f t="shared" si="48"/>
        <v>0</v>
      </c>
      <c r="K297" s="323">
        <f t="shared" si="48"/>
        <v>0</v>
      </c>
      <c r="L297" s="323">
        <f t="shared" si="48"/>
        <v>0</v>
      </c>
      <c r="M297" s="323">
        <f t="shared" si="48"/>
        <v>0</v>
      </c>
      <c r="N297" s="323">
        <f t="shared" si="48"/>
        <v>0</v>
      </c>
      <c r="O297" s="317"/>
      <c r="P297" s="210"/>
    </row>
    <row r="298" spans="2:16">
      <c r="B298" s="182" t="s">
        <v>89</v>
      </c>
      <c r="D298" s="323">
        <f t="shared" ref="D298:N298" si="49">D318+D336+D354+D372+D390+D408+D426+D444+D462+D480+D498+D516+D534+D552+D570+D588</f>
        <v>0</v>
      </c>
      <c r="E298" s="323">
        <f t="shared" si="49"/>
        <v>0</v>
      </c>
      <c r="F298" s="323">
        <f t="shared" si="49"/>
        <v>1</v>
      </c>
      <c r="G298" s="323">
        <f t="shared" si="49"/>
        <v>1</v>
      </c>
      <c r="H298" s="323">
        <f t="shared" si="49"/>
        <v>0</v>
      </c>
      <c r="I298" s="323">
        <f t="shared" si="49"/>
        <v>0</v>
      </c>
      <c r="J298" s="323">
        <f t="shared" si="49"/>
        <v>0</v>
      </c>
      <c r="K298" s="323">
        <f t="shared" si="49"/>
        <v>0</v>
      </c>
      <c r="L298" s="323">
        <f t="shared" si="49"/>
        <v>0</v>
      </c>
      <c r="M298" s="323">
        <f t="shared" si="49"/>
        <v>0</v>
      </c>
      <c r="N298" s="323">
        <f t="shared" si="49"/>
        <v>0</v>
      </c>
      <c r="O298" s="317"/>
      <c r="P298" s="210"/>
    </row>
    <row r="299" spans="2:16">
      <c r="B299" s="182" t="s">
        <v>90</v>
      </c>
      <c r="D299" s="323">
        <f t="shared" ref="D299:N299" si="50">D319+D337+D355+D373+D391+D409+D427+D445+D463+D481+D499+D517+D535+D553+D571+D589</f>
        <v>0</v>
      </c>
      <c r="E299" s="323">
        <f t="shared" si="50"/>
        <v>0</v>
      </c>
      <c r="F299" s="323">
        <f t="shared" si="50"/>
        <v>0</v>
      </c>
      <c r="G299" s="323">
        <f t="shared" si="50"/>
        <v>0</v>
      </c>
      <c r="H299" s="323">
        <f t="shared" si="50"/>
        <v>0</v>
      </c>
      <c r="I299" s="323">
        <f t="shared" si="50"/>
        <v>0</v>
      </c>
      <c r="J299" s="323">
        <f t="shared" si="50"/>
        <v>0</v>
      </c>
      <c r="K299" s="323">
        <f t="shared" si="50"/>
        <v>0</v>
      </c>
      <c r="L299" s="323">
        <f t="shared" si="50"/>
        <v>0</v>
      </c>
      <c r="M299" s="323">
        <f t="shared" si="50"/>
        <v>0</v>
      </c>
      <c r="N299" s="323">
        <f t="shared" si="50"/>
        <v>0</v>
      </c>
      <c r="O299" s="317"/>
      <c r="P299" s="210"/>
    </row>
    <row r="300" spans="2:16">
      <c r="B300" s="182" t="s">
        <v>91</v>
      </c>
      <c r="D300" s="323">
        <f t="shared" ref="D300:N300" si="51">D320+D338+D356+D374+D392+D410+D428+D446+D464+D482+D500+D518+D536+D554+D572+D590</f>
        <v>0</v>
      </c>
      <c r="E300" s="323">
        <f t="shared" si="51"/>
        <v>0</v>
      </c>
      <c r="F300" s="323">
        <f t="shared" si="51"/>
        <v>1</v>
      </c>
      <c r="G300" s="323">
        <f t="shared" si="51"/>
        <v>0</v>
      </c>
      <c r="H300" s="323">
        <f t="shared" si="51"/>
        <v>0</v>
      </c>
      <c r="I300" s="323">
        <f t="shared" si="51"/>
        <v>0</v>
      </c>
      <c r="J300" s="323">
        <f t="shared" si="51"/>
        <v>0</v>
      </c>
      <c r="K300" s="323">
        <f t="shared" si="51"/>
        <v>0</v>
      </c>
      <c r="L300" s="323">
        <f t="shared" si="51"/>
        <v>0</v>
      </c>
      <c r="M300" s="323">
        <f t="shared" si="51"/>
        <v>0</v>
      </c>
      <c r="N300" s="323">
        <f t="shared" si="51"/>
        <v>0</v>
      </c>
      <c r="O300" s="317"/>
      <c r="P300" s="210"/>
    </row>
    <row r="301" spans="2:16">
      <c r="B301" s="182" t="s">
        <v>92</v>
      </c>
      <c r="D301" s="323">
        <f t="shared" ref="D301:N301" si="52">D321+D339+D357+D375+D393+D411+D429+D447+D465+D483+D501+D519+D537+D555+D573+D591</f>
        <v>0</v>
      </c>
      <c r="E301" s="323">
        <f t="shared" si="52"/>
        <v>0</v>
      </c>
      <c r="F301" s="323">
        <f t="shared" si="52"/>
        <v>0</v>
      </c>
      <c r="G301" s="323">
        <f t="shared" si="52"/>
        <v>0</v>
      </c>
      <c r="H301" s="323">
        <f t="shared" si="52"/>
        <v>0</v>
      </c>
      <c r="I301" s="323">
        <f t="shared" si="52"/>
        <v>0</v>
      </c>
      <c r="J301" s="323">
        <f t="shared" si="52"/>
        <v>0</v>
      </c>
      <c r="K301" s="323">
        <f t="shared" si="52"/>
        <v>0</v>
      </c>
      <c r="L301" s="323">
        <f t="shared" si="52"/>
        <v>0</v>
      </c>
      <c r="M301" s="323">
        <f t="shared" si="52"/>
        <v>0</v>
      </c>
      <c r="N301" s="323">
        <f t="shared" si="52"/>
        <v>0</v>
      </c>
      <c r="O301" s="317"/>
      <c r="P301" s="210"/>
    </row>
    <row r="302" spans="2:16">
      <c r="B302" s="182" t="s">
        <v>95</v>
      </c>
      <c r="D302" s="323">
        <f t="shared" ref="D302:N302" si="53">D322+D340+D358+D376+D394+D412+D430+D448+D466+D484+D502+D520+D538+D556+D574+D592</f>
        <v>0</v>
      </c>
      <c r="E302" s="323">
        <f t="shared" si="53"/>
        <v>0</v>
      </c>
      <c r="F302" s="323">
        <f t="shared" si="53"/>
        <v>0</v>
      </c>
      <c r="G302" s="323">
        <f t="shared" si="53"/>
        <v>0</v>
      </c>
      <c r="H302" s="323">
        <f t="shared" si="53"/>
        <v>0</v>
      </c>
      <c r="I302" s="323">
        <f t="shared" si="53"/>
        <v>0</v>
      </c>
      <c r="J302" s="323">
        <f t="shared" si="53"/>
        <v>0</v>
      </c>
      <c r="K302" s="323">
        <f t="shared" si="53"/>
        <v>0</v>
      </c>
      <c r="L302" s="323">
        <f t="shared" si="53"/>
        <v>0</v>
      </c>
      <c r="M302" s="323">
        <f t="shared" si="53"/>
        <v>0</v>
      </c>
      <c r="N302" s="323">
        <f t="shared" si="53"/>
        <v>0</v>
      </c>
      <c r="O302" s="317"/>
      <c r="P302" s="210"/>
    </row>
    <row r="303" spans="2:16">
      <c r="B303" s="182" t="s">
        <v>96</v>
      </c>
      <c r="D303" s="323">
        <f t="shared" ref="D303:N303" si="54">D323+D341+D359+D377+D395+D413+D431+D449+D467+D485+D503+D521+D539+D557+D575+D593</f>
        <v>0</v>
      </c>
      <c r="E303" s="323">
        <f t="shared" si="54"/>
        <v>0</v>
      </c>
      <c r="F303" s="323">
        <f t="shared" si="54"/>
        <v>0</v>
      </c>
      <c r="G303" s="323">
        <f t="shared" si="54"/>
        <v>1</v>
      </c>
      <c r="H303" s="323">
        <f t="shared" si="54"/>
        <v>0</v>
      </c>
      <c r="I303" s="323">
        <f t="shared" si="54"/>
        <v>0</v>
      </c>
      <c r="J303" s="323">
        <f t="shared" si="54"/>
        <v>0</v>
      </c>
      <c r="K303" s="323">
        <f t="shared" si="54"/>
        <v>0</v>
      </c>
      <c r="L303" s="323">
        <f t="shared" si="54"/>
        <v>0</v>
      </c>
      <c r="M303" s="323">
        <f t="shared" si="54"/>
        <v>0</v>
      </c>
      <c r="N303" s="323">
        <f t="shared" si="54"/>
        <v>0</v>
      </c>
      <c r="O303" s="317"/>
      <c r="P303" s="210"/>
    </row>
    <row r="304" spans="2:16">
      <c r="B304" s="182" t="s">
        <v>93</v>
      </c>
      <c r="D304" s="323">
        <f t="shared" ref="D304:N304" si="55">D324+D342+D360+D378+D396+D414+D432+D450+D468+D486+D504+D522+D540+D558+D576+D594</f>
        <v>0</v>
      </c>
      <c r="E304" s="323">
        <f t="shared" si="55"/>
        <v>0</v>
      </c>
      <c r="F304" s="323">
        <f t="shared" si="55"/>
        <v>0</v>
      </c>
      <c r="G304" s="323">
        <f t="shared" si="55"/>
        <v>0</v>
      </c>
      <c r="H304" s="323">
        <f t="shared" si="55"/>
        <v>0</v>
      </c>
      <c r="I304" s="323">
        <f t="shared" si="55"/>
        <v>0</v>
      </c>
      <c r="J304" s="323">
        <f t="shared" si="55"/>
        <v>0</v>
      </c>
      <c r="K304" s="323">
        <f t="shared" si="55"/>
        <v>0</v>
      </c>
      <c r="L304" s="323">
        <f t="shared" si="55"/>
        <v>1</v>
      </c>
      <c r="M304" s="323">
        <f t="shared" si="55"/>
        <v>0</v>
      </c>
      <c r="N304" s="323">
        <f t="shared" si="55"/>
        <v>0</v>
      </c>
      <c r="O304" s="317"/>
      <c r="P304" s="210"/>
    </row>
    <row r="305" spans="1:16">
      <c r="B305" s="182" t="s">
        <v>97</v>
      </c>
      <c r="D305" s="323">
        <f t="shared" ref="D305:N305" si="56">D325+D343+D361+D379+D397+D415+D433+D451+D469+D487+D505+D523+D541+D559+D577+D595</f>
        <v>0</v>
      </c>
      <c r="E305" s="323">
        <f t="shared" si="56"/>
        <v>0</v>
      </c>
      <c r="F305" s="323">
        <f t="shared" si="56"/>
        <v>0</v>
      </c>
      <c r="G305" s="323">
        <f t="shared" si="56"/>
        <v>0</v>
      </c>
      <c r="H305" s="323">
        <f t="shared" si="56"/>
        <v>0</v>
      </c>
      <c r="I305" s="323">
        <f t="shared" si="56"/>
        <v>0</v>
      </c>
      <c r="J305" s="323">
        <f t="shared" si="56"/>
        <v>0</v>
      </c>
      <c r="K305" s="323">
        <f t="shared" si="56"/>
        <v>0</v>
      </c>
      <c r="L305" s="323">
        <f t="shared" si="56"/>
        <v>0</v>
      </c>
      <c r="M305" s="323">
        <f t="shared" si="56"/>
        <v>0</v>
      </c>
      <c r="N305" s="323">
        <f t="shared" si="56"/>
        <v>0</v>
      </c>
      <c r="O305" s="317"/>
      <c r="P305" s="210"/>
    </row>
    <row r="306" spans="1:16">
      <c r="B306" s="228" t="s">
        <v>136</v>
      </c>
      <c r="C306" s="229"/>
      <c r="D306" s="322">
        <f t="shared" ref="D306:M306" si="57">D326+D344+D362+D380+D398+D416+D434+D452+D470+D488+D506+D524+D542+D560+D578+D596</f>
        <v>0</v>
      </c>
      <c r="E306" s="322">
        <f t="shared" si="57"/>
        <v>0</v>
      </c>
      <c r="F306" s="322">
        <f t="shared" si="57"/>
        <v>0</v>
      </c>
      <c r="G306" s="322">
        <f t="shared" si="57"/>
        <v>0</v>
      </c>
      <c r="H306" s="322">
        <f t="shared" si="57"/>
        <v>0</v>
      </c>
      <c r="I306" s="322">
        <f t="shared" si="57"/>
        <v>0</v>
      </c>
      <c r="J306" s="322">
        <f t="shared" si="57"/>
        <v>0</v>
      </c>
      <c r="K306" s="322">
        <f t="shared" si="57"/>
        <v>0</v>
      </c>
      <c r="L306" s="322">
        <f t="shared" si="57"/>
        <v>0</v>
      </c>
      <c r="M306" s="322">
        <f t="shared" si="57"/>
        <v>0</v>
      </c>
      <c r="N306" s="322">
        <f>N326+N344+N362+N380+N398+N416+N434+N452+N470+N488+N506+N524+N542+N560+N578+N596</f>
        <v>0</v>
      </c>
      <c r="O306" s="320"/>
      <c r="P306" s="222"/>
    </row>
    <row r="307" spans="1:16">
      <c r="B307" s="223"/>
      <c r="C307" s="179"/>
      <c r="D307" s="179"/>
      <c r="E307" s="179"/>
      <c r="F307" s="179"/>
      <c r="G307" s="179"/>
      <c r="H307" s="179"/>
      <c r="I307" s="179"/>
      <c r="J307" s="179"/>
      <c r="K307" s="177"/>
      <c r="L307" s="179"/>
      <c r="M307" s="177"/>
      <c r="N307" s="318"/>
      <c r="O307" s="177"/>
      <c r="P307" s="179"/>
    </row>
    <row r="308" spans="1:16">
      <c r="B308" s="230" t="s">
        <v>158</v>
      </c>
      <c r="C308" s="169"/>
      <c r="D308" s="314">
        <v>2002</v>
      </c>
      <c r="E308" s="314">
        <v>2003</v>
      </c>
      <c r="F308" s="314">
        <v>2004</v>
      </c>
      <c r="G308" s="314">
        <v>2005</v>
      </c>
      <c r="H308" s="314">
        <v>2006</v>
      </c>
      <c r="I308" s="314">
        <v>2007</v>
      </c>
      <c r="J308" s="314">
        <v>2008</v>
      </c>
      <c r="K308" s="314">
        <v>2009</v>
      </c>
      <c r="L308" s="314">
        <v>2010</v>
      </c>
      <c r="M308" s="314">
        <v>2011</v>
      </c>
      <c r="N308" s="170">
        <v>2012</v>
      </c>
      <c r="O308" s="155"/>
      <c r="P308" s="112"/>
    </row>
    <row r="309" spans="1:16">
      <c r="A309" s="224"/>
      <c r="B309" s="231" t="s">
        <v>157</v>
      </c>
      <c r="C309" s="171" t="s">
        <v>102</v>
      </c>
      <c r="D309" s="315">
        <v>0</v>
      </c>
      <c r="E309" s="315">
        <v>0</v>
      </c>
      <c r="F309" s="315">
        <v>0</v>
      </c>
      <c r="G309" s="315">
        <v>0</v>
      </c>
      <c r="H309" s="315">
        <v>0</v>
      </c>
      <c r="I309" s="315">
        <v>0</v>
      </c>
      <c r="J309" s="315">
        <v>0</v>
      </c>
      <c r="K309" s="315">
        <v>0</v>
      </c>
      <c r="L309" s="315">
        <v>0</v>
      </c>
      <c r="M309" s="315">
        <v>0</v>
      </c>
      <c r="N309" s="232">
        <v>0</v>
      </c>
      <c r="O309" s="232"/>
      <c r="P309" s="233"/>
    </row>
    <row r="310" spans="1:16">
      <c r="A310" s="224"/>
      <c r="B310" s="231"/>
      <c r="C310" s="171" t="s">
        <v>98</v>
      </c>
      <c r="D310" s="315">
        <v>0</v>
      </c>
      <c r="E310" s="315">
        <v>0</v>
      </c>
      <c r="F310" s="315">
        <v>0</v>
      </c>
      <c r="G310" s="315">
        <v>0</v>
      </c>
      <c r="H310" s="315">
        <v>0</v>
      </c>
      <c r="I310" s="315">
        <v>0</v>
      </c>
      <c r="J310" s="315">
        <v>0</v>
      </c>
      <c r="K310" s="315">
        <v>0</v>
      </c>
      <c r="L310" s="315">
        <v>0</v>
      </c>
      <c r="M310" s="315">
        <v>0</v>
      </c>
      <c r="N310" s="232">
        <v>0</v>
      </c>
      <c r="O310" s="232"/>
      <c r="P310" s="233"/>
    </row>
    <row r="311" spans="1:16">
      <c r="A311" s="224"/>
      <c r="B311" s="231"/>
      <c r="C311" s="171" t="s">
        <v>99</v>
      </c>
      <c r="D311" s="315">
        <v>0</v>
      </c>
      <c r="E311" s="315">
        <v>0</v>
      </c>
      <c r="F311" s="315">
        <v>0</v>
      </c>
      <c r="G311" s="315">
        <v>0</v>
      </c>
      <c r="H311" s="315">
        <v>0</v>
      </c>
      <c r="I311" s="315">
        <v>0</v>
      </c>
      <c r="J311" s="315">
        <v>0</v>
      </c>
      <c r="K311" s="315">
        <v>0</v>
      </c>
      <c r="L311" s="315">
        <v>0</v>
      </c>
      <c r="M311" s="315">
        <v>0</v>
      </c>
      <c r="N311" s="232">
        <v>0</v>
      </c>
      <c r="O311" s="232"/>
      <c r="P311" s="233"/>
    </row>
    <row r="312" spans="1:16">
      <c r="A312" s="224"/>
      <c r="B312" s="231"/>
      <c r="C312" s="171" t="s">
        <v>83</v>
      </c>
      <c r="D312" s="315">
        <v>0</v>
      </c>
      <c r="E312" s="315">
        <v>0</v>
      </c>
      <c r="F312" s="315">
        <v>0</v>
      </c>
      <c r="G312" s="315">
        <v>0</v>
      </c>
      <c r="H312" s="315">
        <v>0</v>
      </c>
      <c r="I312" s="315">
        <v>0</v>
      </c>
      <c r="J312" s="315">
        <v>0</v>
      </c>
      <c r="K312" s="315">
        <v>0</v>
      </c>
      <c r="L312" s="315">
        <v>0</v>
      </c>
      <c r="M312" s="315">
        <v>0</v>
      </c>
      <c r="N312" s="232">
        <v>0</v>
      </c>
      <c r="O312" s="232"/>
      <c r="P312" s="233"/>
    </row>
    <row r="313" spans="1:16">
      <c r="A313" s="224"/>
      <c r="B313" s="231"/>
      <c r="C313" s="171" t="s">
        <v>84</v>
      </c>
      <c r="D313" s="315">
        <v>0</v>
      </c>
      <c r="E313" s="315">
        <v>0</v>
      </c>
      <c r="F313" s="315">
        <v>0</v>
      </c>
      <c r="G313" s="315">
        <v>0</v>
      </c>
      <c r="H313" s="315">
        <v>0</v>
      </c>
      <c r="I313" s="315">
        <v>0</v>
      </c>
      <c r="J313" s="315">
        <v>0</v>
      </c>
      <c r="K313" s="315">
        <v>0</v>
      </c>
      <c r="L313" s="315">
        <v>0</v>
      </c>
      <c r="M313" s="315">
        <v>0</v>
      </c>
      <c r="N313" s="232">
        <v>0</v>
      </c>
      <c r="O313" s="232"/>
      <c r="P313" s="233"/>
    </row>
    <row r="314" spans="1:16">
      <c r="A314" s="224"/>
      <c r="B314" s="231"/>
      <c r="C314" s="171" t="s">
        <v>85</v>
      </c>
      <c r="D314" s="315">
        <v>0</v>
      </c>
      <c r="E314" s="315">
        <v>0</v>
      </c>
      <c r="F314" s="315">
        <v>0</v>
      </c>
      <c r="G314" s="315">
        <v>0</v>
      </c>
      <c r="H314" s="315">
        <v>0</v>
      </c>
      <c r="I314" s="315">
        <v>0</v>
      </c>
      <c r="J314" s="315">
        <v>0</v>
      </c>
      <c r="K314" s="315">
        <v>0</v>
      </c>
      <c r="L314" s="315">
        <v>0</v>
      </c>
      <c r="M314" s="315">
        <v>0</v>
      </c>
      <c r="N314" s="232">
        <v>0</v>
      </c>
      <c r="O314" s="232"/>
      <c r="P314" s="233"/>
    </row>
    <row r="315" spans="1:16">
      <c r="A315" s="224"/>
      <c r="B315" s="231"/>
      <c r="C315" s="171" t="s">
        <v>86</v>
      </c>
      <c r="D315" s="315">
        <v>0</v>
      </c>
      <c r="E315" s="315">
        <v>0</v>
      </c>
      <c r="F315" s="315">
        <v>0</v>
      </c>
      <c r="G315" s="315">
        <v>0</v>
      </c>
      <c r="H315" s="315">
        <v>0</v>
      </c>
      <c r="I315" s="315">
        <v>0</v>
      </c>
      <c r="J315" s="315">
        <v>0</v>
      </c>
      <c r="K315" s="315">
        <v>0</v>
      </c>
      <c r="L315" s="315">
        <v>0</v>
      </c>
      <c r="M315" s="315">
        <v>0</v>
      </c>
      <c r="N315" s="232">
        <v>0</v>
      </c>
      <c r="O315" s="232"/>
      <c r="P315" s="233"/>
    </row>
    <row r="316" spans="1:16">
      <c r="A316" s="224"/>
      <c r="B316" s="231"/>
      <c r="C316" s="171" t="s">
        <v>87</v>
      </c>
      <c r="D316" s="315">
        <v>0</v>
      </c>
      <c r="E316" s="315">
        <v>0</v>
      </c>
      <c r="F316" s="315">
        <v>0</v>
      </c>
      <c r="G316" s="315">
        <v>0</v>
      </c>
      <c r="H316" s="315">
        <v>0</v>
      </c>
      <c r="I316" s="315">
        <v>0</v>
      </c>
      <c r="J316" s="315">
        <v>0</v>
      </c>
      <c r="K316" s="315">
        <v>0</v>
      </c>
      <c r="L316" s="315">
        <v>0</v>
      </c>
      <c r="M316" s="315">
        <v>0</v>
      </c>
      <c r="N316" s="232">
        <v>0</v>
      </c>
      <c r="O316" s="232"/>
      <c r="P316" s="233"/>
    </row>
    <row r="317" spans="1:16">
      <c r="A317" s="224"/>
      <c r="B317" s="231"/>
      <c r="C317" s="171" t="s">
        <v>88</v>
      </c>
      <c r="D317" s="315">
        <v>0</v>
      </c>
      <c r="E317" s="315">
        <v>0</v>
      </c>
      <c r="F317" s="315">
        <v>0</v>
      </c>
      <c r="G317" s="315">
        <v>0</v>
      </c>
      <c r="H317" s="315">
        <v>0</v>
      </c>
      <c r="I317" s="315">
        <v>0</v>
      </c>
      <c r="J317" s="315">
        <v>0</v>
      </c>
      <c r="K317" s="315">
        <v>0</v>
      </c>
      <c r="L317" s="315">
        <v>0</v>
      </c>
      <c r="M317" s="315">
        <v>0</v>
      </c>
      <c r="N317" s="232">
        <v>0</v>
      </c>
      <c r="O317" s="232"/>
      <c r="P317" s="233"/>
    </row>
    <row r="318" spans="1:16">
      <c r="A318" s="224"/>
      <c r="B318" s="231"/>
      <c r="C318" s="171" t="s">
        <v>89</v>
      </c>
      <c r="D318" s="315">
        <v>0</v>
      </c>
      <c r="E318" s="315">
        <v>0</v>
      </c>
      <c r="F318" s="315">
        <v>0</v>
      </c>
      <c r="G318" s="315">
        <v>0</v>
      </c>
      <c r="H318" s="315">
        <v>0</v>
      </c>
      <c r="I318" s="315">
        <v>0</v>
      </c>
      <c r="J318" s="315">
        <v>0</v>
      </c>
      <c r="K318" s="315">
        <v>0</v>
      </c>
      <c r="L318" s="315">
        <v>0</v>
      </c>
      <c r="M318" s="315">
        <v>0</v>
      </c>
      <c r="N318" s="232">
        <v>0</v>
      </c>
      <c r="O318" s="232"/>
      <c r="P318" s="233"/>
    </row>
    <row r="319" spans="1:16">
      <c r="A319" s="224"/>
      <c r="B319" s="231"/>
      <c r="C319" s="171" t="s">
        <v>90</v>
      </c>
      <c r="D319" s="315">
        <v>0</v>
      </c>
      <c r="E319" s="315">
        <v>0</v>
      </c>
      <c r="F319" s="315">
        <v>0</v>
      </c>
      <c r="G319" s="315">
        <v>0</v>
      </c>
      <c r="H319" s="315">
        <v>0</v>
      </c>
      <c r="I319" s="315">
        <v>0</v>
      </c>
      <c r="J319" s="315">
        <v>0</v>
      </c>
      <c r="K319" s="315">
        <v>0</v>
      </c>
      <c r="L319" s="315">
        <v>0</v>
      </c>
      <c r="M319" s="315">
        <v>0</v>
      </c>
      <c r="N319" s="232">
        <v>0</v>
      </c>
      <c r="O319" s="232"/>
      <c r="P319" s="233"/>
    </row>
    <row r="320" spans="1:16">
      <c r="A320" s="224"/>
      <c r="B320" s="231"/>
      <c r="C320" s="171" t="s">
        <v>91</v>
      </c>
      <c r="D320" s="315">
        <v>0</v>
      </c>
      <c r="E320" s="315">
        <v>0</v>
      </c>
      <c r="F320" s="315">
        <v>0</v>
      </c>
      <c r="G320" s="315">
        <v>0</v>
      </c>
      <c r="H320" s="315">
        <v>0</v>
      </c>
      <c r="I320" s="315">
        <v>0</v>
      </c>
      <c r="J320" s="315">
        <v>0</v>
      </c>
      <c r="K320" s="315">
        <v>0</v>
      </c>
      <c r="L320" s="315">
        <v>0</v>
      </c>
      <c r="M320" s="315">
        <v>0</v>
      </c>
      <c r="N320" s="232">
        <v>0</v>
      </c>
      <c r="O320" s="232"/>
      <c r="P320" s="233"/>
    </row>
    <row r="321" spans="1:16">
      <c r="A321" s="224"/>
      <c r="B321" s="231"/>
      <c r="C321" s="171" t="s">
        <v>92</v>
      </c>
      <c r="D321" s="315">
        <v>0</v>
      </c>
      <c r="E321" s="315">
        <v>0</v>
      </c>
      <c r="F321" s="315">
        <v>0</v>
      </c>
      <c r="G321" s="315">
        <v>0</v>
      </c>
      <c r="H321" s="315">
        <v>0</v>
      </c>
      <c r="I321" s="315">
        <v>0</v>
      </c>
      <c r="J321" s="315">
        <v>0</v>
      </c>
      <c r="K321" s="315">
        <v>0</v>
      </c>
      <c r="L321" s="315">
        <v>0</v>
      </c>
      <c r="M321" s="315">
        <v>0</v>
      </c>
      <c r="N321" s="232">
        <v>0</v>
      </c>
      <c r="O321" s="232"/>
      <c r="P321" s="233"/>
    </row>
    <row r="322" spans="1:16">
      <c r="A322" s="224"/>
      <c r="B322" s="231"/>
      <c r="C322" s="171" t="s">
        <v>95</v>
      </c>
      <c r="D322" s="315">
        <v>0</v>
      </c>
      <c r="E322" s="315">
        <v>0</v>
      </c>
      <c r="F322" s="315">
        <v>0</v>
      </c>
      <c r="G322" s="315">
        <v>0</v>
      </c>
      <c r="H322" s="315">
        <v>0</v>
      </c>
      <c r="I322" s="315">
        <v>0</v>
      </c>
      <c r="J322" s="315">
        <v>0</v>
      </c>
      <c r="K322" s="315">
        <v>0</v>
      </c>
      <c r="L322" s="315">
        <v>0</v>
      </c>
      <c r="M322" s="315">
        <v>0</v>
      </c>
      <c r="N322" s="232">
        <v>0</v>
      </c>
      <c r="O322" s="232"/>
      <c r="P322" s="233"/>
    </row>
    <row r="323" spans="1:16">
      <c r="A323" s="224"/>
      <c r="B323" s="231"/>
      <c r="C323" s="171" t="s">
        <v>96</v>
      </c>
      <c r="D323" s="315">
        <v>0</v>
      </c>
      <c r="E323" s="315">
        <v>0</v>
      </c>
      <c r="F323" s="315">
        <v>0</v>
      </c>
      <c r="G323" s="315">
        <v>0</v>
      </c>
      <c r="H323" s="315">
        <v>0</v>
      </c>
      <c r="I323" s="315">
        <v>0</v>
      </c>
      <c r="J323" s="315">
        <v>0</v>
      </c>
      <c r="K323" s="315">
        <v>0</v>
      </c>
      <c r="L323" s="315">
        <v>0</v>
      </c>
      <c r="M323" s="315">
        <v>0</v>
      </c>
      <c r="N323" s="232">
        <v>0</v>
      </c>
      <c r="O323" s="232"/>
      <c r="P323" s="233"/>
    </row>
    <row r="324" spans="1:16">
      <c r="A324" s="224"/>
      <c r="B324" s="231"/>
      <c r="C324" s="171" t="s">
        <v>93</v>
      </c>
      <c r="D324" s="315">
        <v>0</v>
      </c>
      <c r="E324" s="315">
        <v>0</v>
      </c>
      <c r="F324" s="315">
        <v>0</v>
      </c>
      <c r="G324" s="315">
        <v>0</v>
      </c>
      <c r="H324" s="315">
        <v>0</v>
      </c>
      <c r="I324" s="315">
        <v>0</v>
      </c>
      <c r="J324" s="315">
        <v>0</v>
      </c>
      <c r="K324" s="315">
        <v>0</v>
      </c>
      <c r="L324" s="315">
        <v>1</v>
      </c>
      <c r="M324" s="315">
        <v>0</v>
      </c>
      <c r="N324" s="232">
        <v>0</v>
      </c>
      <c r="O324" s="232"/>
      <c r="P324" s="233"/>
    </row>
    <row r="325" spans="1:16">
      <c r="A325" s="224"/>
      <c r="B325" s="231"/>
      <c r="C325" s="171" t="s">
        <v>97</v>
      </c>
      <c r="D325" s="315">
        <v>0</v>
      </c>
      <c r="E325" s="315">
        <v>0</v>
      </c>
      <c r="F325" s="315">
        <v>0</v>
      </c>
      <c r="G325" s="315">
        <v>0</v>
      </c>
      <c r="H325" s="315">
        <v>0</v>
      </c>
      <c r="I325" s="315">
        <v>0</v>
      </c>
      <c r="J325" s="315">
        <v>0</v>
      </c>
      <c r="K325" s="315">
        <v>0</v>
      </c>
      <c r="L325" s="315">
        <v>0</v>
      </c>
      <c r="M325" s="315">
        <v>0</v>
      </c>
      <c r="N325" s="232">
        <v>0</v>
      </c>
      <c r="O325" s="232"/>
      <c r="P325" s="233"/>
    </row>
    <row r="326" spans="1:16">
      <c r="A326" s="224"/>
      <c r="B326" s="231"/>
      <c r="C326" s="172" t="s">
        <v>136</v>
      </c>
      <c r="D326" s="315">
        <v>0</v>
      </c>
      <c r="E326" s="315">
        <v>0</v>
      </c>
      <c r="F326" s="315">
        <v>0</v>
      </c>
      <c r="G326" s="315">
        <v>0</v>
      </c>
      <c r="H326" s="315">
        <v>0</v>
      </c>
      <c r="I326" s="315">
        <v>0</v>
      </c>
      <c r="J326" s="315">
        <v>0</v>
      </c>
      <c r="K326" s="315">
        <v>0</v>
      </c>
      <c r="L326" s="315">
        <v>0</v>
      </c>
      <c r="M326" s="315">
        <v>0</v>
      </c>
      <c r="N326" s="232">
        <v>0</v>
      </c>
      <c r="O326" s="232"/>
      <c r="P326" s="233"/>
    </row>
    <row r="327" spans="1:16">
      <c r="A327" s="224"/>
      <c r="B327" s="231" t="s">
        <v>159</v>
      </c>
      <c r="C327" s="171" t="s">
        <v>102</v>
      </c>
      <c r="D327" s="315">
        <v>0</v>
      </c>
      <c r="E327" s="315">
        <v>0</v>
      </c>
      <c r="F327" s="315">
        <v>0</v>
      </c>
      <c r="G327" s="315">
        <v>0</v>
      </c>
      <c r="H327" s="315">
        <v>0</v>
      </c>
      <c r="I327" s="315">
        <v>0</v>
      </c>
      <c r="J327" s="315">
        <v>0</v>
      </c>
      <c r="K327" s="315">
        <v>0</v>
      </c>
      <c r="L327" s="315">
        <v>0</v>
      </c>
      <c r="M327" s="315">
        <v>0</v>
      </c>
      <c r="N327" s="232">
        <v>0</v>
      </c>
      <c r="O327" s="232"/>
      <c r="P327" s="233"/>
    </row>
    <row r="328" spans="1:16">
      <c r="A328" s="224"/>
      <c r="B328" s="231"/>
      <c r="C328" s="171" t="s">
        <v>98</v>
      </c>
      <c r="D328" s="315">
        <v>0</v>
      </c>
      <c r="E328" s="315">
        <v>0</v>
      </c>
      <c r="F328" s="315">
        <v>0</v>
      </c>
      <c r="G328" s="315">
        <v>0</v>
      </c>
      <c r="H328" s="315">
        <v>0</v>
      </c>
      <c r="I328" s="315">
        <v>0</v>
      </c>
      <c r="J328" s="315">
        <v>0</v>
      </c>
      <c r="K328" s="315">
        <v>0</v>
      </c>
      <c r="L328" s="315">
        <v>0</v>
      </c>
      <c r="M328" s="315">
        <v>0</v>
      </c>
      <c r="N328" s="232">
        <v>0</v>
      </c>
      <c r="O328" s="232"/>
      <c r="P328" s="233"/>
    </row>
    <row r="329" spans="1:16">
      <c r="A329" s="224"/>
      <c r="B329" s="231"/>
      <c r="C329" s="171" t="s">
        <v>99</v>
      </c>
      <c r="D329" s="315">
        <v>0</v>
      </c>
      <c r="E329" s="315">
        <v>0</v>
      </c>
      <c r="F329" s="315">
        <v>0</v>
      </c>
      <c r="G329" s="315">
        <v>0</v>
      </c>
      <c r="H329" s="315">
        <v>0</v>
      </c>
      <c r="I329" s="315">
        <v>0</v>
      </c>
      <c r="J329" s="315">
        <v>0</v>
      </c>
      <c r="K329" s="315">
        <v>0</v>
      </c>
      <c r="L329" s="315">
        <v>0</v>
      </c>
      <c r="M329" s="315">
        <v>0</v>
      </c>
      <c r="N329" s="232">
        <v>0</v>
      </c>
      <c r="O329" s="232"/>
      <c r="P329" s="233"/>
    </row>
    <row r="330" spans="1:16">
      <c r="A330" s="224"/>
      <c r="B330" s="231"/>
      <c r="C330" s="171" t="s">
        <v>83</v>
      </c>
      <c r="D330" s="315">
        <v>0</v>
      </c>
      <c r="E330" s="315">
        <v>0</v>
      </c>
      <c r="F330" s="315">
        <v>0</v>
      </c>
      <c r="G330" s="315">
        <v>0</v>
      </c>
      <c r="H330" s="315">
        <v>0</v>
      </c>
      <c r="I330" s="315">
        <v>0</v>
      </c>
      <c r="J330" s="315">
        <v>0</v>
      </c>
      <c r="K330" s="315">
        <v>0</v>
      </c>
      <c r="L330" s="315">
        <v>0</v>
      </c>
      <c r="M330" s="315">
        <v>0</v>
      </c>
      <c r="N330" s="232">
        <v>0</v>
      </c>
      <c r="O330" s="232"/>
      <c r="P330" s="233"/>
    </row>
    <row r="331" spans="1:16">
      <c r="A331" s="224"/>
      <c r="B331" s="231"/>
      <c r="C331" s="171" t="s">
        <v>84</v>
      </c>
      <c r="D331" s="315">
        <v>0</v>
      </c>
      <c r="E331" s="315">
        <v>0</v>
      </c>
      <c r="F331" s="315">
        <v>0</v>
      </c>
      <c r="G331" s="315">
        <v>0</v>
      </c>
      <c r="H331" s="315">
        <v>0</v>
      </c>
      <c r="I331" s="315">
        <v>0</v>
      </c>
      <c r="J331" s="315">
        <v>0</v>
      </c>
      <c r="K331" s="315">
        <v>0</v>
      </c>
      <c r="L331" s="315">
        <v>0</v>
      </c>
      <c r="M331" s="315">
        <v>0</v>
      </c>
      <c r="N331" s="232">
        <v>0</v>
      </c>
      <c r="O331" s="232"/>
      <c r="P331" s="233"/>
    </row>
    <row r="332" spans="1:16">
      <c r="A332" s="224"/>
      <c r="B332" s="231"/>
      <c r="C332" s="171" t="s">
        <v>85</v>
      </c>
      <c r="D332" s="315">
        <v>0</v>
      </c>
      <c r="E332" s="315">
        <v>0</v>
      </c>
      <c r="F332" s="315">
        <v>0</v>
      </c>
      <c r="G332" s="315">
        <v>0</v>
      </c>
      <c r="H332" s="315">
        <v>0</v>
      </c>
      <c r="I332" s="315">
        <v>0</v>
      </c>
      <c r="J332" s="315">
        <v>0</v>
      </c>
      <c r="K332" s="315">
        <v>0</v>
      </c>
      <c r="L332" s="315">
        <v>0</v>
      </c>
      <c r="M332" s="315">
        <v>0</v>
      </c>
      <c r="N332" s="232">
        <v>0</v>
      </c>
      <c r="O332" s="232"/>
      <c r="P332" s="233"/>
    </row>
    <row r="333" spans="1:16">
      <c r="A333" s="224"/>
      <c r="B333" s="231"/>
      <c r="C333" s="171" t="s">
        <v>86</v>
      </c>
      <c r="D333" s="315">
        <v>0</v>
      </c>
      <c r="E333" s="315">
        <v>0</v>
      </c>
      <c r="F333" s="315">
        <v>0</v>
      </c>
      <c r="G333" s="315">
        <v>0</v>
      </c>
      <c r="H333" s="315">
        <v>0</v>
      </c>
      <c r="I333" s="315">
        <v>0</v>
      </c>
      <c r="J333" s="315">
        <v>0</v>
      </c>
      <c r="K333" s="315">
        <v>0</v>
      </c>
      <c r="L333" s="315">
        <v>0</v>
      </c>
      <c r="M333" s="315">
        <v>0</v>
      </c>
      <c r="N333" s="232">
        <v>0</v>
      </c>
      <c r="O333" s="232"/>
      <c r="P333" s="233"/>
    </row>
    <row r="334" spans="1:16">
      <c r="A334" s="224"/>
      <c r="B334" s="231"/>
      <c r="C334" s="171" t="s">
        <v>87</v>
      </c>
      <c r="D334" s="315">
        <v>0</v>
      </c>
      <c r="E334" s="315">
        <v>0</v>
      </c>
      <c r="F334" s="315">
        <v>0</v>
      </c>
      <c r="G334" s="315">
        <v>0</v>
      </c>
      <c r="H334" s="315">
        <v>0</v>
      </c>
      <c r="I334" s="315">
        <v>0</v>
      </c>
      <c r="J334" s="315">
        <v>0</v>
      </c>
      <c r="K334" s="315">
        <v>0</v>
      </c>
      <c r="L334" s="315">
        <v>0</v>
      </c>
      <c r="M334" s="315">
        <v>0</v>
      </c>
      <c r="N334" s="232">
        <v>0</v>
      </c>
      <c r="O334" s="232"/>
      <c r="P334" s="233"/>
    </row>
    <row r="335" spans="1:16">
      <c r="A335" s="224"/>
      <c r="B335" s="231"/>
      <c r="C335" s="171" t="s">
        <v>88</v>
      </c>
      <c r="D335" s="315">
        <v>0</v>
      </c>
      <c r="E335" s="315">
        <v>0</v>
      </c>
      <c r="F335" s="315">
        <v>0</v>
      </c>
      <c r="G335" s="315">
        <v>0</v>
      </c>
      <c r="H335" s="315">
        <v>0</v>
      </c>
      <c r="I335" s="315">
        <v>0</v>
      </c>
      <c r="J335" s="315">
        <v>0</v>
      </c>
      <c r="K335" s="315">
        <v>0</v>
      </c>
      <c r="L335" s="315">
        <v>0</v>
      </c>
      <c r="M335" s="315">
        <v>0</v>
      </c>
      <c r="N335" s="232">
        <v>0</v>
      </c>
      <c r="O335" s="232"/>
      <c r="P335" s="233"/>
    </row>
    <row r="336" spans="1:16">
      <c r="A336" s="224"/>
      <c r="B336" s="231"/>
      <c r="C336" s="171" t="s">
        <v>89</v>
      </c>
      <c r="D336" s="315">
        <v>0</v>
      </c>
      <c r="E336" s="315">
        <v>0</v>
      </c>
      <c r="F336" s="315">
        <v>0</v>
      </c>
      <c r="G336" s="315">
        <v>0</v>
      </c>
      <c r="H336" s="315">
        <v>0</v>
      </c>
      <c r="I336" s="315">
        <v>0</v>
      </c>
      <c r="J336" s="315">
        <v>0</v>
      </c>
      <c r="K336" s="315">
        <v>0</v>
      </c>
      <c r="L336" s="315">
        <v>0</v>
      </c>
      <c r="M336" s="315">
        <v>0</v>
      </c>
      <c r="N336" s="232">
        <v>0</v>
      </c>
      <c r="O336" s="232"/>
      <c r="P336" s="233"/>
    </row>
    <row r="337" spans="1:16">
      <c r="A337" s="224"/>
      <c r="B337" s="231"/>
      <c r="C337" s="171" t="s">
        <v>90</v>
      </c>
      <c r="D337" s="315">
        <v>0</v>
      </c>
      <c r="E337" s="315">
        <v>0</v>
      </c>
      <c r="F337" s="315">
        <v>0</v>
      </c>
      <c r="G337" s="315">
        <v>0</v>
      </c>
      <c r="H337" s="315">
        <v>0</v>
      </c>
      <c r="I337" s="315">
        <v>0</v>
      </c>
      <c r="J337" s="315">
        <v>0</v>
      </c>
      <c r="K337" s="315">
        <v>0</v>
      </c>
      <c r="L337" s="315">
        <v>0</v>
      </c>
      <c r="M337" s="315">
        <v>0</v>
      </c>
      <c r="N337" s="232">
        <v>0</v>
      </c>
      <c r="O337" s="232"/>
      <c r="P337" s="233"/>
    </row>
    <row r="338" spans="1:16">
      <c r="A338" s="224"/>
      <c r="B338" s="231"/>
      <c r="C338" s="171" t="s">
        <v>91</v>
      </c>
      <c r="D338" s="315">
        <v>0</v>
      </c>
      <c r="E338" s="315">
        <v>0</v>
      </c>
      <c r="F338" s="315">
        <v>0</v>
      </c>
      <c r="G338" s="315">
        <v>0</v>
      </c>
      <c r="H338" s="315">
        <v>0</v>
      </c>
      <c r="I338" s="315">
        <v>0</v>
      </c>
      <c r="J338" s="315">
        <v>0</v>
      </c>
      <c r="K338" s="315">
        <v>0</v>
      </c>
      <c r="L338" s="315">
        <v>0</v>
      </c>
      <c r="M338" s="315">
        <v>0</v>
      </c>
      <c r="N338" s="232">
        <v>0</v>
      </c>
      <c r="O338" s="232"/>
      <c r="P338" s="233"/>
    </row>
    <row r="339" spans="1:16">
      <c r="A339" s="224"/>
      <c r="B339" s="231"/>
      <c r="C339" s="171" t="s">
        <v>92</v>
      </c>
      <c r="D339" s="315">
        <v>0</v>
      </c>
      <c r="E339" s="315">
        <v>0</v>
      </c>
      <c r="F339" s="315">
        <v>0</v>
      </c>
      <c r="G339" s="315">
        <v>0</v>
      </c>
      <c r="H339" s="315">
        <v>0</v>
      </c>
      <c r="I339" s="315">
        <v>0</v>
      </c>
      <c r="J339" s="315">
        <v>0</v>
      </c>
      <c r="K339" s="315">
        <v>0</v>
      </c>
      <c r="L339" s="315">
        <v>0</v>
      </c>
      <c r="M339" s="315">
        <v>0</v>
      </c>
      <c r="N339" s="232">
        <v>0</v>
      </c>
      <c r="O339" s="232"/>
      <c r="P339" s="233"/>
    </row>
    <row r="340" spans="1:16">
      <c r="A340" s="224"/>
      <c r="B340" s="231"/>
      <c r="C340" s="171" t="s">
        <v>95</v>
      </c>
      <c r="D340" s="315">
        <v>0</v>
      </c>
      <c r="E340" s="315">
        <v>0</v>
      </c>
      <c r="F340" s="315">
        <v>0</v>
      </c>
      <c r="G340" s="315">
        <v>0</v>
      </c>
      <c r="H340" s="315">
        <v>0</v>
      </c>
      <c r="I340" s="315">
        <v>0</v>
      </c>
      <c r="J340" s="315">
        <v>0</v>
      </c>
      <c r="K340" s="315">
        <v>0</v>
      </c>
      <c r="L340" s="315">
        <v>0</v>
      </c>
      <c r="M340" s="315">
        <v>0</v>
      </c>
      <c r="N340" s="232">
        <v>0</v>
      </c>
      <c r="O340" s="232"/>
      <c r="P340" s="233"/>
    </row>
    <row r="341" spans="1:16">
      <c r="A341" s="224"/>
      <c r="B341" s="231"/>
      <c r="C341" s="171" t="s">
        <v>96</v>
      </c>
      <c r="D341" s="315">
        <v>0</v>
      </c>
      <c r="E341" s="315">
        <v>0</v>
      </c>
      <c r="F341" s="315">
        <v>0</v>
      </c>
      <c r="G341" s="315">
        <v>0</v>
      </c>
      <c r="H341" s="315">
        <v>0</v>
      </c>
      <c r="I341" s="315">
        <v>0</v>
      </c>
      <c r="J341" s="315">
        <v>0</v>
      </c>
      <c r="K341" s="315">
        <v>0</v>
      </c>
      <c r="L341" s="315">
        <v>0</v>
      </c>
      <c r="M341" s="315">
        <v>0</v>
      </c>
      <c r="N341" s="232">
        <v>0</v>
      </c>
      <c r="O341" s="232"/>
      <c r="P341" s="233"/>
    </row>
    <row r="342" spans="1:16">
      <c r="A342" s="224"/>
      <c r="B342" s="231"/>
      <c r="C342" s="171" t="s">
        <v>93</v>
      </c>
      <c r="D342" s="315">
        <v>0</v>
      </c>
      <c r="E342" s="315">
        <v>0</v>
      </c>
      <c r="F342" s="315">
        <v>0</v>
      </c>
      <c r="G342" s="315">
        <v>0</v>
      </c>
      <c r="H342" s="315">
        <v>0</v>
      </c>
      <c r="I342" s="315">
        <v>0</v>
      </c>
      <c r="J342" s="315">
        <v>0</v>
      </c>
      <c r="K342" s="315">
        <v>0</v>
      </c>
      <c r="L342" s="315">
        <v>0</v>
      </c>
      <c r="M342" s="315">
        <v>0</v>
      </c>
      <c r="N342" s="232">
        <v>0</v>
      </c>
      <c r="O342" s="232"/>
      <c r="P342" s="233"/>
    </row>
    <row r="343" spans="1:16">
      <c r="A343" s="224"/>
      <c r="B343" s="231"/>
      <c r="C343" s="171" t="s">
        <v>97</v>
      </c>
      <c r="D343" s="315">
        <v>0</v>
      </c>
      <c r="E343" s="315">
        <v>0</v>
      </c>
      <c r="F343" s="315">
        <v>0</v>
      </c>
      <c r="G343" s="315">
        <v>0</v>
      </c>
      <c r="H343" s="315">
        <v>0</v>
      </c>
      <c r="I343" s="315">
        <v>0</v>
      </c>
      <c r="J343" s="315">
        <v>0</v>
      </c>
      <c r="K343" s="315">
        <v>0</v>
      </c>
      <c r="L343" s="315">
        <v>0</v>
      </c>
      <c r="M343" s="315">
        <v>0</v>
      </c>
      <c r="N343" s="232">
        <v>0</v>
      </c>
      <c r="O343" s="232"/>
      <c r="P343" s="233"/>
    </row>
    <row r="344" spans="1:16">
      <c r="A344" s="224"/>
      <c r="B344" s="231"/>
      <c r="C344" s="172" t="s">
        <v>136</v>
      </c>
      <c r="D344" s="315">
        <v>0</v>
      </c>
      <c r="E344" s="315">
        <v>0</v>
      </c>
      <c r="F344" s="315">
        <v>0</v>
      </c>
      <c r="G344" s="315">
        <v>0</v>
      </c>
      <c r="H344" s="315">
        <v>0</v>
      </c>
      <c r="I344" s="315">
        <v>0</v>
      </c>
      <c r="J344" s="315">
        <v>0</v>
      </c>
      <c r="K344" s="315">
        <v>0</v>
      </c>
      <c r="L344" s="315">
        <v>0</v>
      </c>
      <c r="M344" s="315">
        <v>0</v>
      </c>
      <c r="N344" s="232">
        <v>0</v>
      </c>
      <c r="O344" s="232"/>
      <c r="P344" s="233"/>
    </row>
    <row r="345" spans="1:16">
      <c r="A345" s="224"/>
      <c r="B345" s="231" t="s">
        <v>160</v>
      </c>
      <c r="C345" s="171" t="s">
        <v>102</v>
      </c>
      <c r="D345" s="315">
        <v>0</v>
      </c>
      <c r="E345" s="315">
        <v>0</v>
      </c>
      <c r="F345" s="315">
        <v>0</v>
      </c>
      <c r="G345" s="315">
        <v>0</v>
      </c>
      <c r="H345" s="315">
        <v>0</v>
      </c>
      <c r="I345" s="315">
        <v>0</v>
      </c>
      <c r="J345" s="315">
        <v>0</v>
      </c>
      <c r="K345" s="315">
        <v>0</v>
      </c>
      <c r="L345" s="315">
        <v>0</v>
      </c>
      <c r="M345" s="315">
        <v>0</v>
      </c>
      <c r="N345" s="232">
        <v>0</v>
      </c>
      <c r="O345" s="232"/>
      <c r="P345" s="233"/>
    </row>
    <row r="346" spans="1:16">
      <c r="A346" s="224"/>
      <c r="B346" s="231"/>
      <c r="C346" s="171" t="s">
        <v>98</v>
      </c>
      <c r="D346" s="315">
        <v>0</v>
      </c>
      <c r="E346" s="315">
        <v>0</v>
      </c>
      <c r="F346" s="315">
        <v>0</v>
      </c>
      <c r="G346" s="315">
        <v>0</v>
      </c>
      <c r="H346" s="315">
        <v>0</v>
      </c>
      <c r="I346" s="315">
        <v>0</v>
      </c>
      <c r="J346" s="315">
        <v>0</v>
      </c>
      <c r="K346" s="315">
        <v>0</v>
      </c>
      <c r="L346" s="315">
        <v>0</v>
      </c>
      <c r="M346" s="315">
        <v>0</v>
      </c>
      <c r="N346" s="232">
        <v>0</v>
      </c>
      <c r="O346" s="232"/>
      <c r="P346" s="233"/>
    </row>
    <row r="347" spans="1:16">
      <c r="A347" s="224"/>
      <c r="B347" s="231"/>
      <c r="C347" s="171" t="s">
        <v>99</v>
      </c>
      <c r="D347" s="315">
        <v>0</v>
      </c>
      <c r="E347" s="315">
        <v>0</v>
      </c>
      <c r="F347" s="315">
        <v>0</v>
      </c>
      <c r="G347" s="315">
        <v>0</v>
      </c>
      <c r="H347" s="315">
        <v>0</v>
      </c>
      <c r="I347" s="315">
        <v>0</v>
      </c>
      <c r="J347" s="315">
        <v>0</v>
      </c>
      <c r="K347" s="315">
        <v>0</v>
      </c>
      <c r="L347" s="315">
        <v>0</v>
      </c>
      <c r="M347" s="315">
        <v>0</v>
      </c>
      <c r="N347" s="232">
        <v>0</v>
      </c>
      <c r="O347" s="232"/>
      <c r="P347" s="233"/>
    </row>
    <row r="348" spans="1:16">
      <c r="A348" s="224"/>
      <c r="B348" s="231"/>
      <c r="C348" s="171" t="s">
        <v>83</v>
      </c>
      <c r="D348" s="315">
        <v>0</v>
      </c>
      <c r="E348" s="315">
        <v>0</v>
      </c>
      <c r="F348" s="315">
        <v>0</v>
      </c>
      <c r="G348" s="315">
        <v>0</v>
      </c>
      <c r="H348" s="315">
        <v>0</v>
      </c>
      <c r="I348" s="315">
        <v>0</v>
      </c>
      <c r="J348" s="315">
        <v>0</v>
      </c>
      <c r="K348" s="315">
        <v>0</v>
      </c>
      <c r="L348" s="315">
        <v>0</v>
      </c>
      <c r="M348" s="315">
        <v>0</v>
      </c>
      <c r="N348" s="232">
        <v>0</v>
      </c>
      <c r="O348" s="232"/>
      <c r="P348" s="233"/>
    </row>
    <row r="349" spans="1:16">
      <c r="A349" s="224"/>
      <c r="B349" s="231"/>
      <c r="C349" s="171" t="s">
        <v>84</v>
      </c>
      <c r="D349" s="315">
        <v>0</v>
      </c>
      <c r="E349" s="315">
        <v>0</v>
      </c>
      <c r="F349" s="315">
        <v>0</v>
      </c>
      <c r="G349" s="315">
        <v>0</v>
      </c>
      <c r="H349" s="315">
        <v>0</v>
      </c>
      <c r="I349" s="315">
        <v>0</v>
      </c>
      <c r="J349" s="315">
        <v>0</v>
      </c>
      <c r="K349" s="315">
        <v>0</v>
      </c>
      <c r="L349" s="315">
        <v>0</v>
      </c>
      <c r="M349" s="315">
        <v>0</v>
      </c>
      <c r="N349" s="232">
        <v>0</v>
      </c>
      <c r="O349" s="232"/>
      <c r="P349" s="233"/>
    </row>
    <row r="350" spans="1:16">
      <c r="A350" s="224"/>
      <c r="B350" s="231"/>
      <c r="C350" s="171" t="s">
        <v>85</v>
      </c>
      <c r="D350" s="315">
        <v>0</v>
      </c>
      <c r="E350" s="315">
        <v>0</v>
      </c>
      <c r="F350" s="315">
        <v>0</v>
      </c>
      <c r="G350" s="315">
        <v>0</v>
      </c>
      <c r="H350" s="315">
        <v>0</v>
      </c>
      <c r="I350" s="315">
        <v>0</v>
      </c>
      <c r="J350" s="315">
        <v>0</v>
      </c>
      <c r="K350" s="315">
        <v>0</v>
      </c>
      <c r="L350" s="315">
        <v>0</v>
      </c>
      <c r="M350" s="315">
        <v>0</v>
      </c>
      <c r="N350" s="232">
        <v>0</v>
      </c>
      <c r="O350" s="232"/>
      <c r="P350" s="233"/>
    </row>
    <row r="351" spans="1:16">
      <c r="A351" s="224"/>
      <c r="B351" s="231"/>
      <c r="C351" s="171" t="s">
        <v>86</v>
      </c>
      <c r="D351" s="315">
        <v>0</v>
      </c>
      <c r="E351" s="315">
        <v>0</v>
      </c>
      <c r="F351" s="315">
        <v>0</v>
      </c>
      <c r="G351" s="315">
        <v>0</v>
      </c>
      <c r="H351" s="315">
        <v>0</v>
      </c>
      <c r="I351" s="315">
        <v>0</v>
      </c>
      <c r="J351" s="315">
        <v>0</v>
      </c>
      <c r="K351" s="315">
        <v>0</v>
      </c>
      <c r="L351" s="315">
        <v>0</v>
      </c>
      <c r="M351" s="315">
        <v>0</v>
      </c>
      <c r="N351" s="232">
        <v>0</v>
      </c>
      <c r="O351" s="232"/>
      <c r="P351" s="233"/>
    </row>
    <row r="352" spans="1:16">
      <c r="A352" s="224"/>
      <c r="B352" s="231"/>
      <c r="C352" s="171" t="s">
        <v>87</v>
      </c>
      <c r="D352" s="315">
        <v>0</v>
      </c>
      <c r="E352" s="315">
        <v>0</v>
      </c>
      <c r="F352" s="315">
        <v>0</v>
      </c>
      <c r="G352" s="315">
        <v>0</v>
      </c>
      <c r="H352" s="315">
        <v>0</v>
      </c>
      <c r="I352" s="315">
        <v>0</v>
      </c>
      <c r="J352" s="315">
        <v>0</v>
      </c>
      <c r="K352" s="315">
        <v>0</v>
      </c>
      <c r="L352" s="315">
        <v>0</v>
      </c>
      <c r="M352" s="315">
        <v>0</v>
      </c>
      <c r="N352" s="232">
        <v>0</v>
      </c>
      <c r="O352" s="232"/>
      <c r="P352" s="233"/>
    </row>
    <row r="353" spans="1:16">
      <c r="A353" s="224"/>
      <c r="B353" s="231"/>
      <c r="C353" s="171" t="s">
        <v>88</v>
      </c>
      <c r="D353" s="315">
        <v>0</v>
      </c>
      <c r="E353" s="315">
        <v>0</v>
      </c>
      <c r="F353" s="315">
        <v>0</v>
      </c>
      <c r="G353" s="315">
        <v>0</v>
      </c>
      <c r="H353" s="315">
        <v>0</v>
      </c>
      <c r="I353" s="315">
        <v>0</v>
      </c>
      <c r="J353" s="315">
        <v>0</v>
      </c>
      <c r="K353" s="315">
        <v>0</v>
      </c>
      <c r="L353" s="315">
        <v>0</v>
      </c>
      <c r="M353" s="315">
        <v>0</v>
      </c>
      <c r="N353" s="232">
        <v>0</v>
      </c>
      <c r="O353" s="232"/>
      <c r="P353" s="233"/>
    </row>
    <row r="354" spans="1:16">
      <c r="A354" s="224"/>
      <c r="B354" s="231"/>
      <c r="C354" s="171" t="s">
        <v>89</v>
      </c>
      <c r="D354" s="315">
        <v>0</v>
      </c>
      <c r="E354" s="315">
        <v>0</v>
      </c>
      <c r="F354" s="315">
        <v>0</v>
      </c>
      <c r="G354" s="315">
        <v>0</v>
      </c>
      <c r="H354" s="315">
        <v>0</v>
      </c>
      <c r="I354" s="315">
        <v>0</v>
      </c>
      <c r="J354" s="315">
        <v>0</v>
      </c>
      <c r="K354" s="315">
        <v>0</v>
      </c>
      <c r="L354" s="315">
        <v>0</v>
      </c>
      <c r="M354" s="315">
        <v>0</v>
      </c>
      <c r="N354" s="232">
        <v>0</v>
      </c>
      <c r="O354" s="232"/>
      <c r="P354" s="233"/>
    </row>
    <row r="355" spans="1:16">
      <c r="A355" s="224"/>
      <c r="B355" s="231"/>
      <c r="C355" s="171" t="s">
        <v>90</v>
      </c>
      <c r="D355" s="315">
        <v>0</v>
      </c>
      <c r="E355" s="315">
        <v>0</v>
      </c>
      <c r="F355" s="315">
        <v>0</v>
      </c>
      <c r="G355" s="315">
        <v>0</v>
      </c>
      <c r="H355" s="315">
        <v>0</v>
      </c>
      <c r="I355" s="315">
        <v>0</v>
      </c>
      <c r="J355" s="315">
        <v>0</v>
      </c>
      <c r="K355" s="315">
        <v>0</v>
      </c>
      <c r="L355" s="315">
        <v>0</v>
      </c>
      <c r="M355" s="315">
        <v>0</v>
      </c>
      <c r="N355" s="232">
        <v>0</v>
      </c>
      <c r="O355" s="232"/>
      <c r="P355" s="233"/>
    </row>
    <row r="356" spans="1:16">
      <c r="A356" s="224"/>
      <c r="B356" s="231"/>
      <c r="C356" s="171" t="s">
        <v>91</v>
      </c>
      <c r="D356" s="315">
        <v>0</v>
      </c>
      <c r="E356" s="315">
        <v>0</v>
      </c>
      <c r="F356" s="315">
        <v>0</v>
      </c>
      <c r="G356" s="315">
        <v>0</v>
      </c>
      <c r="H356" s="315">
        <v>0</v>
      </c>
      <c r="I356" s="315">
        <v>0</v>
      </c>
      <c r="J356" s="315">
        <v>0</v>
      </c>
      <c r="K356" s="315">
        <v>0</v>
      </c>
      <c r="L356" s="315">
        <v>0</v>
      </c>
      <c r="M356" s="315">
        <v>0</v>
      </c>
      <c r="N356" s="232">
        <v>0</v>
      </c>
      <c r="O356" s="232"/>
      <c r="P356" s="233"/>
    </row>
    <row r="357" spans="1:16">
      <c r="A357" s="224"/>
      <c r="B357" s="231"/>
      <c r="C357" s="171" t="s">
        <v>92</v>
      </c>
      <c r="D357" s="315">
        <v>0</v>
      </c>
      <c r="E357" s="315">
        <v>0</v>
      </c>
      <c r="F357" s="315">
        <v>0</v>
      </c>
      <c r="G357" s="315">
        <v>0</v>
      </c>
      <c r="H357" s="315">
        <v>0</v>
      </c>
      <c r="I357" s="315">
        <v>0</v>
      </c>
      <c r="J357" s="315">
        <v>0</v>
      </c>
      <c r="K357" s="315">
        <v>0</v>
      </c>
      <c r="L357" s="315">
        <v>0</v>
      </c>
      <c r="M357" s="315">
        <v>0</v>
      </c>
      <c r="N357" s="232">
        <v>0</v>
      </c>
      <c r="O357" s="232"/>
      <c r="P357" s="233"/>
    </row>
    <row r="358" spans="1:16">
      <c r="A358" s="224"/>
      <c r="B358" s="231"/>
      <c r="C358" s="171" t="s">
        <v>95</v>
      </c>
      <c r="D358" s="315">
        <v>0</v>
      </c>
      <c r="E358" s="315">
        <v>0</v>
      </c>
      <c r="F358" s="315">
        <v>0</v>
      </c>
      <c r="G358" s="315">
        <v>0</v>
      </c>
      <c r="H358" s="315">
        <v>0</v>
      </c>
      <c r="I358" s="315">
        <v>0</v>
      </c>
      <c r="J358" s="315">
        <v>0</v>
      </c>
      <c r="K358" s="315">
        <v>0</v>
      </c>
      <c r="L358" s="315">
        <v>0</v>
      </c>
      <c r="M358" s="315">
        <v>0</v>
      </c>
      <c r="N358" s="232">
        <v>0</v>
      </c>
      <c r="O358" s="232"/>
      <c r="P358" s="233"/>
    </row>
    <row r="359" spans="1:16">
      <c r="A359" s="224"/>
      <c r="B359" s="231"/>
      <c r="C359" s="171" t="s">
        <v>96</v>
      </c>
      <c r="D359" s="315">
        <v>0</v>
      </c>
      <c r="E359" s="315">
        <v>0</v>
      </c>
      <c r="F359" s="315">
        <v>0</v>
      </c>
      <c r="G359" s="315">
        <v>0</v>
      </c>
      <c r="H359" s="315">
        <v>0</v>
      </c>
      <c r="I359" s="315">
        <v>0</v>
      </c>
      <c r="J359" s="315">
        <v>0</v>
      </c>
      <c r="K359" s="315">
        <v>0</v>
      </c>
      <c r="L359" s="315">
        <v>0</v>
      </c>
      <c r="M359" s="315">
        <v>0</v>
      </c>
      <c r="N359" s="232">
        <v>0</v>
      </c>
      <c r="O359" s="232"/>
      <c r="P359" s="233"/>
    </row>
    <row r="360" spans="1:16">
      <c r="A360" s="224"/>
      <c r="B360" s="231"/>
      <c r="C360" s="171" t="s">
        <v>93</v>
      </c>
      <c r="D360" s="315">
        <v>0</v>
      </c>
      <c r="E360" s="315">
        <v>0</v>
      </c>
      <c r="F360" s="315">
        <v>0</v>
      </c>
      <c r="G360" s="315">
        <v>0</v>
      </c>
      <c r="H360" s="315">
        <v>0</v>
      </c>
      <c r="I360" s="315">
        <v>0</v>
      </c>
      <c r="J360" s="315">
        <v>0</v>
      </c>
      <c r="K360" s="315">
        <v>0</v>
      </c>
      <c r="L360" s="315">
        <v>0</v>
      </c>
      <c r="M360" s="315">
        <v>0</v>
      </c>
      <c r="N360" s="232">
        <v>0</v>
      </c>
      <c r="O360" s="232"/>
      <c r="P360" s="233"/>
    </row>
    <row r="361" spans="1:16">
      <c r="A361" s="224"/>
      <c r="B361" s="231"/>
      <c r="C361" s="171" t="s">
        <v>97</v>
      </c>
      <c r="D361" s="315">
        <v>0</v>
      </c>
      <c r="E361" s="315">
        <v>0</v>
      </c>
      <c r="F361" s="315">
        <v>0</v>
      </c>
      <c r="G361" s="315">
        <v>0</v>
      </c>
      <c r="H361" s="315">
        <v>0</v>
      </c>
      <c r="I361" s="315">
        <v>0</v>
      </c>
      <c r="J361" s="315">
        <v>0</v>
      </c>
      <c r="K361" s="315">
        <v>0</v>
      </c>
      <c r="L361" s="315">
        <v>0</v>
      </c>
      <c r="M361" s="315">
        <v>0</v>
      </c>
      <c r="N361" s="232">
        <v>0</v>
      </c>
      <c r="O361" s="232"/>
      <c r="P361" s="233"/>
    </row>
    <row r="362" spans="1:16">
      <c r="A362" s="224"/>
      <c r="B362" s="231"/>
      <c r="C362" s="172" t="s">
        <v>136</v>
      </c>
      <c r="D362" s="315">
        <v>0</v>
      </c>
      <c r="E362" s="315">
        <v>0</v>
      </c>
      <c r="F362" s="315">
        <v>0</v>
      </c>
      <c r="G362" s="315">
        <v>0</v>
      </c>
      <c r="H362" s="315">
        <v>0</v>
      </c>
      <c r="I362" s="315">
        <v>0</v>
      </c>
      <c r="J362" s="315">
        <v>0</v>
      </c>
      <c r="K362" s="315">
        <v>0</v>
      </c>
      <c r="L362" s="315">
        <v>0</v>
      </c>
      <c r="M362" s="315">
        <v>0</v>
      </c>
      <c r="N362" s="232">
        <v>0</v>
      </c>
      <c r="O362" s="232"/>
      <c r="P362" s="233"/>
    </row>
    <row r="363" spans="1:16">
      <c r="A363" s="224"/>
      <c r="B363" s="231" t="s">
        <v>161</v>
      </c>
      <c r="C363" s="171" t="s">
        <v>102</v>
      </c>
      <c r="D363" s="315">
        <v>0</v>
      </c>
      <c r="E363" s="315">
        <v>0</v>
      </c>
      <c r="F363" s="315">
        <v>0</v>
      </c>
      <c r="G363" s="315">
        <v>0</v>
      </c>
      <c r="H363" s="315">
        <v>0</v>
      </c>
      <c r="I363" s="315">
        <v>0</v>
      </c>
      <c r="J363" s="315">
        <v>0</v>
      </c>
      <c r="K363" s="315">
        <v>0</v>
      </c>
      <c r="L363" s="315">
        <v>0</v>
      </c>
      <c r="M363" s="315">
        <v>0</v>
      </c>
      <c r="N363" s="232">
        <v>0</v>
      </c>
      <c r="O363" s="232"/>
      <c r="P363" s="233"/>
    </row>
    <row r="364" spans="1:16">
      <c r="A364" s="224"/>
      <c r="B364" s="231"/>
      <c r="C364" s="171" t="s">
        <v>98</v>
      </c>
      <c r="D364" s="315">
        <v>0</v>
      </c>
      <c r="E364" s="315">
        <v>0</v>
      </c>
      <c r="F364" s="315">
        <v>0</v>
      </c>
      <c r="G364" s="315">
        <v>0</v>
      </c>
      <c r="H364" s="315">
        <v>0</v>
      </c>
      <c r="I364" s="315">
        <v>0</v>
      </c>
      <c r="J364" s="315">
        <v>0</v>
      </c>
      <c r="K364" s="315">
        <v>0</v>
      </c>
      <c r="L364" s="315">
        <v>0</v>
      </c>
      <c r="M364" s="315">
        <v>0</v>
      </c>
      <c r="N364" s="232">
        <v>0</v>
      </c>
      <c r="O364" s="232"/>
      <c r="P364" s="233"/>
    </row>
    <row r="365" spans="1:16">
      <c r="A365" s="224"/>
      <c r="B365" s="231"/>
      <c r="C365" s="171" t="s">
        <v>99</v>
      </c>
      <c r="D365" s="315">
        <v>0</v>
      </c>
      <c r="E365" s="315">
        <v>0</v>
      </c>
      <c r="F365" s="315">
        <v>0</v>
      </c>
      <c r="G365" s="315">
        <v>0</v>
      </c>
      <c r="H365" s="315">
        <v>0</v>
      </c>
      <c r="I365" s="315">
        <v>0</v>
      </c>
      <c r="J365" s="315">
        <v>0</v>
      </c>
      <c r="K365" s="315">
        <v>0</v>
      </c>
      <c r="L365" s="315">
        <v>0</v>
      </c>
      <c r="M365" s="315">
        <v>0</v>
      </c>
      <c r="N365" s="232">
        <v>0</v>
      </c>
      <c r="O365" s="232"/>
      <c r="P365" s="233"/>
    </row>
    <row r="366" spans="1:16">
      <c r="A366" s="224"/>
      <c r="B366" s="231"/>
      <c r="C366" s="171" t="s">
        <v>83</v>
      </c>
      <c r="D366" s="315">
        <v>0</v>
      </c>
      <c r="E366" s="315">
        <v>0</v>
      </c>
      <c r="F366" s="315">
        <v>0</v>
      </c>
      <c r="G366" s="315">
        <v>0</v>
      </c>
      <c r="H366" s="315">
        <v>0</v>
      </c>
      <c r="I366" s="315">
        <v>0</v>
      </c>
      <c r="J366" s="315">
        <v>0</v>
      </c>
      <c r="K366" s="315">
        <v>0</v>
      </c>
      <c r="L366" s="315">
        <v>0</v>
      </c>
      <c r="M366" s="315">
        <v>0</v>
      </c>
      <c r="N366" s="232">
        <v>0</v>
      </c>
      <c r="O366" s="232"/>
      <c r="P366" s="233"/>
    </row>
    <row r="367" spans="1:16">
      <c r="A367" s="224"/>
      <c r="B367" s="231"/>
      <c r="C367" s="171" t="s">
        <v>84</v>
      </c>
      <c r="D367" s="315">
        <v>0</v>
      </c>
      <c r="E367" s="315">
        <v>0</v>
      </c>
      <c r="F367" s="315">
        <v>0</v>
      </c>
      <c r="G367" s="315">
        <v>0</v>
      </c>
      <c r="H367" s="315">
        <v>0</v>
      </c>
      <c r="I367" s="315">
        <v>0</v>
      </c>
      <c r="J367" s="315">
        <v>0</v>
      </c>
      <c r="K367" s="315">
        <v>0</v>
      </c>
      <c r="L367" s="315">
        <v>0</v>
      </c>
      <c r="M367" s="315">
        <v>0</v>
      </c>
      <c r="N367" s="232">
        <v>0</v>
      </c>
      <c r="O367" s="232"/>
      <c r="P367" s="233"/>
    </row>
    <row r="368" spans="1:16">
      <c r="A368" s="224"/>
      <c r="B368" s="231"/>
      <c r="C368" s="171" t="s">
        <v>85</v>
      </c>
      <c r="D368" s="315">
        <v>0</v>
      </c>
      <c r="E368" s="315">
        <v>0</v>
      </c>
      <c r="F368" s="315">
        <v>0</v>
      </c>
      <c r="G368" s="315">
        <v>0</v>
      </c>
      <c r="H368" s="315">
        <v>0</v>
      </c>
      <c r="I368" s="315">
        <v>0</v>
      </c>
      <c r="J368" s="315">
        <v>0</v>
      </c>
      <c r="K368" s="315">
        <v>0</v>
      </c>
      <c r="L368" s="315">
        <v>0</v>
      </c>
      <c r="M368" s="315">
        <v>0</v>
      </c>
      <c r="N368" s="232">
        <v>0</v>
      </c>
      <c r="O368" s="232"/>
      <c r="P368" s="233"/>
    </row>
    <row r="369" spans="1:16">
      <c r="A369" s="224"/>
      <c r="B369" s="231"/>
      <c r="C369" s="171" t="s">
        <v>86</v>
      </c>
      <c r="D369" s="315">
        <v>0</v>
      </c>
      <c r="E369" s="315">
        <v>0</v>
      </c>
      <c r="F369" s="315">
        <v>0</v>
      </c>
      <c r="G369" s="315">
        <v>0</v>
      </c>
      <c r="H369" s="315">
        <v>1</v>
      </c>
      <c r="I369" s="315">
        <v>0</v>
      </c>
      <c r="J369" s="315">
        <v>0</v>
      </c>
      <c r="K369" s="315">
        <v>0</v>
      </c>
      <c r="L369" s="315">
        <v>0</v>
      </c>
      <c r="M369" s="315">
        <v>0</v>
      </c>
      <c r="N369" s="232">
        <v>0</v>
      </c>
      <c r="O369" s="232"/>
      <c r="P369" s="233"/>
    </row>
    <row r="370" spans="1:16">
      <c r="A370" s="224"/>
      <c r="B370" s="231"/>
      <c r="C370" s="171" t="s">
        <v>87</v>
      </c>
      <c r="D370" s="315">
        <v>0</v>
      </c>
      <c r="E370" s="315">
        <v>1</v>
      </c>
      <c r="F370" s="315">
        <v>0</v>
      </c>
      <c r="G370" s="315">
        <v>0</v>
      </c>
      <c r="H370" s="315">
        <v>0</v>
      </c>
      <c r="I370" s="315">
        <v>0</v>
      </c>
      <c r="J370" s="315">
        <v>0</v>
      </c>
      <c r="K370" s="315">
        <v>0</v>
      </c>
      <c r="L370" s="315">
        <v>0</v>
      </c>
      <c r="M370" s="315">
        <v>0</v>
      </c>
      <c r="N370" s="232">
        <v>0</v>
      </c>
      <c r="O370" s="232"/>
      <c r="P370" s="233"/>
    </row>
    <row r="371" spans="1:16">
      <c r="A371" s="224"/>
      <c r="B371" s="231"/>
      <c r="C371" s="171" t="s">
        <v>88</v>
      </c>
      <c r="D371" s="315">
        <v>0</v>
      </c>
      <c r="E371" s="315">
        <v>0</v>
      </c>
      <c r="F371" s="315">
        <v>0</v>
      </c>
      <c r="G371" s="315">
        <v>0</v>
      </c>
      <c r="H371" s="315">
        <v>0</v>
      </c>
      <c r="I371" s="315">
        <v>0</v>
      </c>
      <c r="J371" s="315">
        <v>0</v>
      </c>
      <c r="K371" s="315">
        <v>0</v>
      </c>
      <c r="L371" s="315">
        <v>0</v>
      </c>
      <c r="M371" s="315">
        <v>0</v>
      </c>
      <c r="N371" s="232">
        <v>0</v>
      </c>
      <c r="O371" s="232"/>
      <c r="P371" s="233"/>
    </row>
    <row r="372" spans="1:16">
      <c r="A372" s="224"/>
      <c r="B372" s="231"/>
      <c r="C372" s="171" t="s">
        <v>89</v>
      </c>
      <c r="D372" s="315">
        <v>0</v>
      </c>
      <c r="E372" s="315">
        <v>0</v>
      </c>
      <c r="F372" s="315">
        <v>0</v>
      </c>
      <c r="G372" s="315">
        <v>1</v>
      </c>
      <c r="H372" s="315">
        <v>0</v>
      </c>
      <c r="I372" s="315">
        <v>0</v>
      </c>
      <c r="J372" s="315">
        <v>0</v>
      </c>
      <c r="K372" s="315">
        <v>0</v>
      </c>
      <c r="L372" s="315">
        <v>0</v>
      </c>
      <c r="M372" s="315">
        <v>0</v>
      </c>
      <c r="N372" s="232">
        <v>0</v>
      </c>
      <c r="O372" s="232"/>
      <c r="P372" s="233"/>
    </row>
    <row r="373" spans="1:16">
      <c r="A373" s="224"/>
      <c r="B373" s="231"/>
      <c r="C373" s="171" t="s">
        <v>90</v>
      </c>
      <c r="D373" s="315">
        <v>0</v>
      </c>
      <c r="E373" s="315">
        <v>0</v>
      </c>
      <c r="F373" s="315">
        <v>0</v>
      </c>
      <c r="G373" s="315">
        <v>0</v>
      </c>
      <c r="H373" s="315">
        <v>0</v>
      </c>
      <c r="I373" s="315">
        <v>0</v>
      </c>
      <c r="J373" s="315">
        <v>0</v>
      </c>
      <c r="K373" s="315">
        <v>0</v>
      </c>
      <c r="L373" s="315">
        <v>0</v>
      </c>
      <c r="M373" s="315">
        <v>0</v>
      </c>
      <c r="N373" s="232">
        <v>0</v>
      </c>
      <c r="O373" s="232"/>
      <c r="P373" s="233"/>
    </row>
    <row r="374" spans="1:16">
      <c r="A374" s="224"/>
      <c r="B374" s="231"/>
      <c r="C374" s="171" t="s">
        <v>91</v>
      </c>
      <c r="D374" s="315">
        <v>0</v>
      </c>
      <c r="E374" s="315">
        <v>0</v>
      </c>
      <c r="F374" s="315">
        <v>1</v>
      </c>
      <c r="G374" s="315">
        <v>0</v>
      </c>
      <c r="H374" s="315">
        <v>0</v>
      </c>
      <c r="I374" s="315">
        <v>0</v>
      </c>
      <c r="J374" s="315">
        <v>0</v>
      </c>
      <c r="K374" s="315">
        <v>0</v>
      </c>
      <c r="L374" s="315">
        <v>0</v>
      </c>
      <c r="M374" s="315">
        <v>0</v>
      </c>
      <c r="N374" s="232">
        <v>0</v>
      </c>
      <c r="O374" s="232"/>
      <c r="P374" s="233"/>
    </row>
    <row r="375" spans="1:16">
      <c r="A375" s="224"/>
      <c r="B375" s="231"/>
      <c r="C375" s="171" t="s">
        <v>92</v>
      </c>
      <c r="D375" s="315">
        <v>0</v>
      </c>
      <c r="E375" s="315">
        <v>0</v>
      </c>
      <c r="F375" s="315">
        <v>0</v>
      </c>
      <c r="G375" s="315">
        <v>0</v>
      </c>
      <c r="H375" s="315">
        <v>0</v>
      </c>
      <c r="I375" s="315">
        <v>0</v>
      </c>
      <c r="J375" s="315">
        <v>0</v>
      </c>
      <c r="K375" s="315">
        <v>0</v>
      </c>
      <c r="L375" s="315">
        <v>0</v>
      </c>
      <c r="M375" s="315">
        <v>0</v>
      </c>
      <c r="N375" s="232">
        <v>0</v>
      </c>
      <c r="O375" s="232"/>
      <c r="P375" s="233"/>
    </row>
    <row r="376" spans="1:16">
      <c r="A376" s="224"/>
      <c r="B376" s="231"/>
      <c r="C376" s="171" t="s">
        <v>95</v>
      </c>
      <c r="D376" s="315">
        <v>0</v>
      </c>
      <c r="E376" s="315">
        <v>0</v>
      </c>
      <c r="F376" s="315">
        <v>0</v>
      </c>
      <c r="G376" s="315">
        <v>0</v>
      </c>
      <c r="H376" s="315">
        <v>0</v>
      </c>
      <c r="I376" s="315">
        <v>0</v>
      </c>
      <c r="J376" s="315">
        <v>0</v>
      </c>
      <c r="K376" s="315">
        <v>0</v>
      </c>
      <c r="L376" s="315">
        <v>0</v>
      </c>
      <c r="M376" s="315">
        <v>0</v>
      </c>
      <c r="N376" s="232">
        <v>0</v>
      </c>
      <c r="O376" s="232"/>
      <c r="P376" s="233"/>
    </row>
    <row r="377" spans="1:16">
      <c r="A377" s="224"/>
      <c r="B377" s="231"/>
      <c r="C377" s="171" t="s">
        <v>96</v>
      </c>
      <c r="D377" s="315">
        <v>0</v>
      </c>
      <c r="E377" s="315">
        <v>0</v>
      </c>
      <c r="F377" s="315">
        <v>0</v>
      </c>
      <c r="G377" s="315">
        <v>0</v>
      </c>
      <c r="H377" s="315">
        <v>0</v>
      </c>
      <c r="I377" s="315">
        <v>0</v>
      </c>
      <c r="J377" s="315">
        <v>0</v>
      </c>
      <c r="K377" s="315">
        <v>0</v>
      </c>
      <c r="L377" s="315">
        <v>0</v>
      </c>
      <c r="M377" s="315">
        <v>0</v>
      </c>
      <c r="N377" s="232">
        <v>0</v>
      </c>
      <c r="O377" s="232"/>
      <c r="P377" s="233"/>
    </row>
    <row r="378" spans="1:16">
      <c r="A378" s="224"/>
      <c r="B378" s="231"/>
      <c r="C378" s="171" t="s">
        <v>93</v>
      </c>
      <c r="D378" s="315">
        <v>0</v>
      </c>
      <c r="E378" s="315">
        <v>0</v>
      </c>
      <c r="F378" s="315">
        <v>0</v>
      </c>
      <c r="G378" s="315">
        <v>0</v>
      </c>
      <c r="H378" s="315">
        <v>0</v>
      </c>
      <c r="I378" s="315">
        <v>0</v>
      </c>
      <c r="J378" s="315">
        <v>0</v>
      </c>
      <c r="K378" s="315">
        <v>0</v>
      </c>
      <c r="L378" s="315">
        <v>0</v>
      </c>
      <c r="M378" s="315">
        <v>0</v>
      </c>
      <c r="N378" s="232">
        <v>0</v>
      </c>
      <c r="O378" s="232"/>
      <c r="P378" s="233"/>
    </row>
    <row r="379" spans="1:16">
      <c r="A379" s="224"/>
      <c r="B379" s="231"/>
      <c r="C379" s="171" t="s">
        <v>97</v>
      </c>
      <c r="D379" s="315">
        <v>0</v>
      </c>
      <c r="E379" s="315">
        <v>0</v>
      </c>
      <c r="F379" s="315">
        <v>0</v>
      </c>
      <c r="G379" s="315">
        <v>0</v>
      </c>
      <c r="H379" s="315">
        <v>0</v>
      </c>
      <c r="I379" s="315">
        <v>0</v>
      </c>
      <c r="J379" s="315">
        <v>0</v>
      </c>
      <c r="K379" s="315">
        <v>0</v>
      </c>
      <c r="L379" s="315">
        <v>0</v>
      </c>
      <c r="M379" s="315">
        <v>0</v>
      </c>
      <c r="N379" s="232">
        <v>0</v>
      </c>
      <c r="O379" s="232"/>
      <c r="P379" s="233"/>
    </row>
    <row r="380" spans="1:16">
      <c r="A380" s="224"/>
      <c r="B380" s="231"/>
      <c r="C380" s="172" t="s">
        <v>136</v>
      </c>
      <c r="D380" s="315">
        <v>0</v>
      </c>
      <c r="E380" s="315">
        <v>0</v>
      </c>
      <c r="F380" s="315">
        <v>0</v>
      </c>
      <c r="G380" s="315">
        <v>0</v>
      </c>
      <c r="H380" s="315">
        <v>0</v>
      </c>
      <c r="I380" s="315">
        <v>0</v>
      </c>
      <c r="J380" s="315">
        <v>0</v>
      </c>
      <c r="K380" s="315">
        <v>0</v>
      </c>
      <c r="L380" s="315">
        <v>0</v>
      </c>
      <c r="M380" s="315">
        <v>0</v>
      </c>
      <c r="N380" s="232">
        <v>0</v>
      </c>
      <c r="O380" s="232"/>
      <c r="P380" s="233"/>
    </row>
    <row r="381" spans="1:16">
      <c r="A381" s="224"/>
      <c r="B381" s="231" t="s">
        <v>162</v>
      </c>
      <c r="C381" s="171" t="s">
        <v>102</v>
      </c>
      <c r="D381" s="315">
        <v>0</v>
      </c>
      <c r="E381" s="315">
        <v>0</v>
      </c>
      <c r="F381" s="315">
        <v>0</v>
      </c>
      <c r="G381" s="315">
        <v>0</v>
      </c>
      <c r="H381" s="315">
        <v>0</v>
      </c>
      <c r="I381" s="315">
        <v>0</v>
      </c>
      <c r="J381" s="315">
        <v>0</v>
      </c>
      <c r="K381" s="315">
        <v>0</v>
      </c>
      <c r="L381" s="315">
        <v>0</v>
      </c>
      <c r="M381" s="315">
        <v>0</v>
      </c>
      <c r="N381" s="232">
        <v>0</v>
      </c>
      <c r="O381" s="232"/>
      <c r="P381" s="233"/>
    </row>
    <row r="382" spans="1:16">
      <c r="A382" s="224"/>
      <c r="B382" s="231"/>
      <c r="C382" s="171" t="s">
        <v>98</v>
      </c>
      <c r="D382" s="315">
        <v>0</v>
      </c>
      <c r="E382" s="315">
        <v>0</v>
      </c>
      <c r="F382" s="315">
        <v>0</v>
      </c>
      <c r="G382" s="315">
        <v>0</v>
      </c>
      <c r="H382" s="315">
        <v>0</v>
      </c>
      <c r="I382" s="315">
        <v>0</v>
      </c>
      <c r="J382" s="315">
        <v>0</v>
      </c>
      <c r="K382" s="315">
        <v>0</v>
      </c>
      <c r="L382" s="315">
        <v>0</v>
      </c>
      <c r="M382" s="315">
        <v>0</v>
      </c>
      <c r="N382" s="232">
        <v>0</v>
      </c>
      <c r="O382" s="232"/>
      <c r="P382" s="233"/>
    </row>
    <row r="383" spans="1:16">
      <c r="A383" s="224"/>
      <c r="B383" s="231"/>
      <c r="C383" s="171" t="s">
        <v>99</v>
      </c>
      <c r="D383" s="315">
        <v>0</v>
      </c>
      <c r="E383" s="315">
        <v>0</v>
      </c>
      <c r="F383" s="315">
        <v>0</v>
      </c>
      <c r="G383" s="315">
        <v>0</v>
      </c>
      <c r="H383" s="315">
        <v>0</v>
      </c>
      <c r="I383" s="315">
        <v>0</v>
      </c>
      <c r="J383" s="315">
        <v>0</v>
      </c>
      <c r="K383" s="315">
        <v>0</v>
      </c>
      <c r="L383" s="315">
        <v>0</v>
      </c>
      <c r="M383" s="315">
        <v>0</v>
      </c>
      <c r="N383" s="232">
        <v>0</v>
      </c>
      <c r="O383" s="232"/>
      <c r="P383" s="233"/>
    </row>
    <row r="384" spans="1:16">
      <c r="A384" s="224"/>
      <c r="B384" s="231"/>
      <c r="C384" s="171" t="s">
        <v>83</v>
      </c>
      <c r="D384" s="315">
        <v>0</v>
      </c>
      <c r="E384" s="315">
        <v>0</v>
      </c>
      <c r="F384" s="315">
        <v>0</v>
      </c>
      <c r="G384" s="315">
        <v>0</v>
      </c>
      <c r="H384" s="315">
        <v>0</v>
      </c>
      <c r="I384" s="315">
        <v>0</v>
      </c>
      <c r="J384" s="315">
        <v>0</v>
      </c>
      <c r="K384" s="315">
        <v>0</v>
      </c>
      <c r="L384" s="315">
        <v>0</v>
      </c>
      <c r="M384" s="315">
        <v>0</v>
      </c>
      <c r="N384" s="232">
        <v>0</v>
      </c>
      <c r="O384" s="232"/>
      <c r="P384" s="233"/>
    </row>
    <row r="385" spans="1:16">
      <c r="A385" s="224"/>
      <c r="B385" s="231"/>
      <c r="C385" s="171" t="s">
        <v>84</v>
      </c>
      <c r="D385" s="315">
        <v>0</v>
      </c>
      <c r="E385" s="315">
        <v>0</v>
      </c>
      <c r="F385" s="315">
        <v>0</v>
      </c>
      <c r="G385" s="315">
        <v>0</v>
      </c>
      <c r="H385" s="315">
        <v>0</v>
      </c>
      <c r="I385" s="315">
        <v>0</v>
      </c>
      <c r="J385" s="315">
        <v>0</v>
      </c>
      <c r="K385" s="315">
        <v>0</v>
      </c>
      <c r="L385" s="315">
        <v>0</v>
      </c>
      <c r="M385" s="315">
        <v>0</v>
      </c>
      <c r="N385" s="232">
        <v>0</v>
      </c>
      <c r="O385" s="232"/>
      <c r="P385" s="233"/>
    </row>
    <row r="386" spans="1:16">
      <c r="A386" s="224"/>
      <c r="B386" s="231"/>
      <c r="C386" s="171" t="s">
        <v>85</v>
      </c>
      <c r="D386" s="315">
        <v>0</v>
      </c>
      <c r="E386" s="315">
        <v>0</v>
      </c>
      <c r="F386" s="315">
        <v>0</v>
      </c>
      <c r="G386" s="315">
        <v>0</v>
      </c>
      <c r="H386" s="315">
        <v>0</v>
      </c>
      <c r="I386" s="315">
        <v>0</v>
      </c>
      <c r="J386" s="315">
        <v>0</v>
      </c>
      <c r="K386" s="315">
        <v>0</v>
      </c>
      <c r="L386" s="315">
        <v>0</v>
      </c>
      <c r="M386" s="315">
        <v>0</v>
      </c>
      <c r="N386" s="232">
        <v>0</v>
      </c>
      <c r="O386" s="232"/>
      <c r="P386" s="233"/>
    </row>
    <row r="387" spans="1:16">
      <c r="A387" s="224"/>
      <c r="B387" s="231"/>
      <c r="C387" s="171" t="s">
        <v>86</v>
      </c>
      <c r="D387" s="315">
        <v>0</v>
      </c>
      <c r="E387" s="315">
        <v>0</v>
      </c>
      <c r="F387" s="315">
        <v>0</v>
      </c>
      <c r="G387" s="315">
        <v>0</v>
      </c>
      <c r="H387" s="315">
        <v>0</v>
      </c>
      <c r="I387" s="315">
        <v>0</v>
      </c>
      <c r="J387" s="315">
        <v>0</v>
      </c>
      <c r="K387" s="315">
        <v>0</v>
      </c>
      <c r="L387" s="315">
        <v>0</v>
      </c>
      <c r="M387" s="315">
        <v>0</v>
      </c>
      <c r="N387" s="232">
        <v>0</v>
      </c>
      <c r="O387" s="232"/>
      <c r="P387" s="233"/>
    </row>
    <row r="388" spans="1:16">
      <c r="A388" s="224"/>
      <c r="B388" s="231"/>
      <c r="C388" s="171" t="s">
        <v>87</v>
      </c>
      <c r="D388" s="315">
        <v>0</v>
      </c>
      <c r="E388" s="315">
        <v>0</v>
      </c>
      <c r="F388" s="315">
        <v>0</v>
      </c>
      <c r="G388" s="315">
        <v>0</v>
      </c>
      <c r="H388" s="315">
        <v>0</v>
      </c>
      <c r="I388" s="315">
        <v>0</v>
      </c>
      <c r="J388" s="315">
        <v>0</v>
      </c>
      <c r="K388" s="315">
        <v>0</v>
      </c>
      <c r="L388" s="315">
        <v>0</v>
      </c>
      <c r="M388" s="315">
        <v>0</v>
      </c>
      <c r="N388" s="232">
        <v>0</v>
      </c>
      <c r="O388" s="232"/>
      <c r="P388" s="233"/>
    </row>
    <row r="389" spans="1:16">
      <c r="A389" s="224"/>
      <c r="B389" s="231"/>
      <c r="C389" s="171" t="s">
        <v>88</v>
      </c>
      <c r="D389" s="315">
        <v>0</v>
      </c>
      <c r="E389" s="315">
        <v>0</v>
      </c>
      <c r="F389" s="315">
        <v>0</v>
      </c>
      <c r="G389" s="315">
        <v>0</v>
      </c>
      <c r="H389" s="315">
        <v>0</v>
      </c>
      <c r="I389" s="315">
        <v>0</v>
      </c>
      <c r="J389" s="315">
        <v>0</v>
      </c>
      <c r="K389" s="315">
        <v>0</v>
      </c>
      <c r="L389" s="315">
        <v>0</v>
      </c>
      <c r="M389" s="315">
        <v>0</v>
      </c>
      <c r="N389" s="232">
        <v>0</v>
      </c>
      <c r="O389" s="232"/>
      <c r="P389" s="233"/>
    </row>
    <row r="390" spans="1:16">
      <c r="A390" s="224"/>
      <c r="B390" s="231"/>
      <c r="C390" s="171" t="s">
        <v>89</v>
      </c>
      <c r="D390" s="315">
        <v>0</v>
      </c>
      <c r="E390" s="315">
        <v>0</v>
      </c>
      <c r="F390" s="315">
        <v>0</v>
      </c>
      <c r="G390" s="315">
        <v>0</v>
      </c>
      <c r="H390" s="315">
        <v>0</v>
      </c>
      <c r="I390" s="315">
        <v>0</v>
      </c>
      <c r="J390" s="315">
        <v>0</v>
      </c>
      <c r="K390" s="315">
        <v>0</v>
      </c>
      <c r="L390" s="315">
        <v>0</v>
      </c>
      <c r="M390" s="315">
        <v>0</v>
      </c>
      <c r="N390" s="232">
        <v>0</v>
      </c>
      <c r="O390" s="232"/>
      <c r="P390" s="233"/>
    </row>
    <row r="391" spans="1:16">
      <c r="A391" s="224"/>
      <c r="B391" s="231"/>
      <c r="C391" s="171" t="s">
        <v>90</v>
      </c>
      <c r="D391" s="315">
        <v>0</v>
      </c>
      <c r="E391" s="315">
        <v>0</v>
      </c>
      <c r="F391" s="315">
        <v>0</v>
      </c>
      <c r="G391" s="315">
        <v>0</v>
      </c>
      <c r="H391" s="315">
        <v>0</v>
      </c>
      <c r="I391" s="315">
        <v>0</v>
      </c>
      <c r="J391" s="315">
        <v>0</v>
      </c>
      <c r="K391" s="315">
        <v>0</v>
      </c>
      <c r="L391" s="315">
        <v>0</v>
      </c>
      <c r="M391" s="315">
        <v>0</v>
      </c>
      <c r="N391" s="232">
        <v>0</v>
      </c>
      <c r="O391" s="232"/>
      <c r="P391" s="233"/>
    </row>
    <row r="392" spans="1:16">
      <c r="A392" s="224"/>
      <c r="B392" s="231"/>
      <c r="C392" s="171" t="s">
        <v>91</v>
      </c>
      <c r="D392" s="315">
        <v>0</v>
      </c>
      <c r="E392" s="315">
        <v>0</v>
      </c>
      <c r="F392" s="315">
        <v>0</v>
      </c>
      <c r="G392" s="315">
        <v>0</v>
      </c>
      <c r="H392" s="315">
        <v>0</v>
      </c>
      <c r="I392" s="315">
        <v>0</v>
      </c>
      <c r="J392" s="315">
        <v>0</v>
      </c>
      <c r="K392" s="315">
        <v>0</v>
      </c>
      <c r="L392" s="315">
        <v>0</v>
      </c>
      <c r="M392" s="315">
        <v>0</v>
      </c>
      <c r="N392" s="232">
        <v>0</v>
      </c>
      <c r="O392" s="232"/>
      <c r="P392" s="233"/>
    </row>
    <row r="393" spans="1:16">
      <c r="A393" s="224"/>
      <c r="B393" s="231"/>
      <c r="C393" s="171" t="s">
        <v>92</v>
      </c>
      <c r="D393" s="315">
        <v>0</v>
      </c>
      <c r="E393" s="315">
        <v>0</v>
      </c>
      <c r="F393" s="315">
        <v>0</v>
      </c>
      <c r="G393" s="315">
        <v>0</v>
      </c>
      <c r="H393" s="315">
        <v>0</v>
      </c>
      <c r="I393" s="315">
        <v>0</v>
      </c>
      <c r="J393" s="315">
        <v>0</v>
      </c>
      <c r="K393" s="315">
        <v>0</v>
      </c>
      <c r="L393" s="315">
        <v>0</v>
      </c>
      <c r="M393" s="315">
        <v>0</v>
      </c>
      <c r="N393" s="232">
        <v>0</v>
      </c>
      <c r="O393" s="232"/>
      <c r="P393" s="233"/>
    </row>
    <row r="394" spans="1:16">
      <c r="A394" s="224"/>
      <c r="B394" s="231"/>
      <c r="C394" s="171" t="s">
        <v>95</v>
      </c>
      <c r="D394" s="315">
        <v>0</v>
      </c>
      <c r="E394" s="315">
        <v>0</v>
      </c>
      <c r="F394" s="315">
        <v>0</v>
      </c>
      <c r="G394" s="315">
        <v>0</v>
      </c>
      <c r="H394" s="315">
        <v>0</v>
      </c>
      <c r="I394" s="315">
        <v>0</v>
      </c>
      <c r="J394" s="315">
        <v>0</v>
      </c>
      <c r="K394" s="315">
        <v>0</v>
      </c>
      <c r="L394" s="315">
        <v>0</v>
      </c>
      <c r="M394" s="315">
        <v>0</v>
      </c>
      <c r="N394" s="232">
        <v>0</v>
      </c>
      <c r="O394" s="232"/>
      <c r="P394" s="233"/>
    </row>
    <row r="395" spans="1:16">
      <c r="A395" s="224"/>
      <c r="B395" s="231"/>
      <c r="C395" s="171" t="s">
        <v>96</v>
      </c>
      <c r="D395" s="315">
        <v>0</v>
      </c>
      <c r="E395" s="315">
        <v>0</v>
      </c>
      <c r="F395" s="315">
        <v>0</v>
      </c>
      <c r="G395" s="315">
        <v>0</v>
      </c>
      <c r="H395" s="315">
        <v>0</v>
      </c>
      <c r="I395" s="315">
        <v>0</v>
      </c>
      <c r="J395" s="315">
        <v>0</v>
      </c>
      <c r="K395" s="315">
        <v>0</v>
      </c>
      <c r="L395" s="315">
        <v>0</v>
      </c>
      <c r="M395" s="315">
        <v>0</v>
      </c>
      <c r="N395" s="232">
        <v>0</v>
      </c>
      <c r="O395" s="232"/>
      <c r="P395" s="233"/>
    </row>
    <row r="396" spans="1:16">
      <c r="A396" s="224"/>
      <c r="B396" s="231"/>
      <c r="C396" s="171" t="s">
        <v>93</v>
      </c>
      <c r="D396" s="315">
        <v>0</v>
      </c>
      <c r="E396" s="315">
        <v>0</v>
      </c>
      <c r="F396" s="315">
        <v>0</v>
      </c>
      <c r="G396" s="315">
        <v>0</v>
      </c>
      <c r="H396" s="315">
        <v>0</v>
      </c>
      <c r="I396" s="315">
        <v>0</v>
      </c>
      <c r="J396" s="315">
        <v>0</v>
      </c>
      <c r="K396" s="315">
        <v>0</v>
      </c>
      <c r="L396" s="315">
        <v>0</v>
      </c>
      <c r="M396" s="315">
        <v>0</v>
      </c>
      <c r="N396" s="232">
        <v>0</v>
      </c>
      <c r="O396" s="232"/>
      <c r="P396" s="233"/>
    </row>
    <row r="397" spans="1:16">
      <c r="A397" s="224"/>
      <c r="B397" s="231"/>
      <c r="C397" s="171" t="s">
        <v>97</v>
      </c>
      <c r="D397" s="315">
        <v>0</v>
      </c>
      <c r="E397" s="315">
        <v>0</v>
      </c>
      <c r="F397" s="315">
        <v>0</v>
      </c>
      <c r="G397" s="315">
        <v>0</v>
      </c>
      <c r="H397" s="315">
        <v>0</v>
      </c>
      <c r="I397" s="315">
        <v>0</v>
      </c>
      <c r="J397" s="315">
        <v>0</v>
      </c>
      <c r="K397" s="315">
        <v>0</v>
      </c>
      <c r="L397" s="315">
        <v>0</v>
      </c>
      <c r="M397" s="315">
        <v>0</v>
      </c>
      <c r="N397" s="232">
        <v>0</v>
      </c>
      <c r="O397" s="232"/>
      <c r="P397" s="233"/>
    </row>
    <row r="398" spans="1:16">
      <c r="A398" s="224"/>
      <c r="B398" s="231"/>
      <c r="C398" s="172" t="s">
        <v>136</v>
      </c>
      <c r="D398" s="315">
        <v>0</v>
      </c>
      <c r="E398" s="315">
        <v>0</v>
      </c>
      <c r="F398" s="315">
        <v>0</v>
      </c>
      <c r="G398" s="315">
        <v>0</v>
      </c>
      <c r="H398" s="315">
        <v>0</v>
      </c>
      <c r="I398" s="315">
        <v>0</v>
      </c>
      <c r="J398" s="315">
        <v>0</v>
      </c>
      <c r="K398" s="315">
        <v>0</v>
      </c>
      <c r="L398" s="315">
        <v>0</v>
      </c>
      <c r="M398" s="315">
        <v>0</v>
      </c>
      <c r="N398" s="232">
        <v>0</v>
      </c>
      <c r="O398" s="232"/>
      <c r="P398" s="233"/>
    </row>
    <row r="399" spans="1:16">
      <c r="A399" s="224"/>
      <c r="B399" s="231" t="s">
        <v>163</v>
      </c>
      <c r="C399" s="171" t="s">
        <v>102</v>
      </c>
      <c r="D399" s="315">
        <v>0</v>
      </c>
      <c r="E399" s="315">
        <v>0</v>
      </c>
      <c r="F399" s="315">
        <v>0</v>
      </c>
      <c r="G399" s="315">
        <v>0</v>
      </c>
      <c r="H399" s="315">
        <v>0</v>
      </c>
      <c r="I399" s="315">
        <v>0</v>
      </c>
      <c r="J399" s="315">
        <v>0</v>
      </c>
      <c r="K399" s="315">
        <v>0</v>
      </c>
      <c r="L399" s="315">
        <v>0</v>
      </c>
      <c r="M399" s="315">
        <v>0</v>
      </c>
      <c r="N399" s="232">
        <v>0</v>
      </c>
      <c r="O399" s="232"/>
      <c r="P399" s="233"/>
    </row>
    <row r="400" spans="1:16">
      <c r="A400" s="224"/>
      <c r="B400" s="231"/>
      <c r="C400" s="171" t="s">
        <v>98</v>
      </c>
      <c r="D400" s="315">
        <v>0</v>
      </c>
      <c r="E400" s="315">
        <v>0</v>
      </c>
      <c r="F400" s="315">
        <v>0</v>
      </c>
      <c r="G400" s="315">
        <v>0</v>
      </c>
      <c r="H400" s="315">
        <v>0</v>
      </c>
      <c r="I400" s="315">
        <v>0</v>
      </c>
      <c r="J400" s="315">
        <v>0</v>
      </c>
      <c r="K400" s="315">
        <v>0</v>
      </c>
      <c r="L400" s="315">
        <v>0</v>
      </c>
      <c r="M400" s="315">
        <v>0</v>
      </c>
      <c r="N400" s="232">
        <v>0</v>
      </c>
      <c r="O400" s="232"/>
      <c r="P400" s="233"/>
    </row>
    <row r="401" spans="1:16">
      <c r="A401" s="224"/>
      <c r="B401" s="231"/>
      <c r="C401" s="171" t="s">
        <v>99</v>
      </c>
      <c r="D401" s="315">
        <v>0</v>
      </c>
      <c r="E401" s="315">
        <v>0</v>
      </c>
      <c r="F401" s="315">
        <v>0</v>
      </c>
      <c r="G401" s="315">
        <v>0</v>
      </c>
      <c r="H401" s="315">
        <v>0</v>
      </c>
      <c r="I401" s="315">
        <v>0</v>
      </c>
      <c r="J401" s="315">
        <v>0</v>
      </c>
      <c r="K401" s="315">
        <v>0</v>
      </c>
      <c r="L401" s="315">
        <v>0</v>
      </c>
      <c r="M401" s="315">
        <v>0</v>
      </c>
      <c r="N401" s="232">
        <v>0</v>
      </c>
      <c r="O401" s="232"/>
      <c r="P401" s="233"/>
    </row>
    <row r="402" spans="1:16">
      <c r="A402" s="224"/>
      <c r="B402" s="231"/>
      <c r="C402" s="171" t="s">
        <v>83</v>
      </c>
      <c r="D402" s="315">
        <v>0</v>
      </c>
      <c r="E402" s="315">
        <v>0</v>
      </c>
      <c r="F402" s="315">
        <v>0</v>
      </c>
      <c r="G402" s="315">
        <v>0</v>
      </c>
      <c r="H402" s="315">
        <v>0</v>
      </c>
      <c r="I402" s="315">
        <v>0</v>
      </c>
      <c r="J402" s="315">
        <v>0</v>
      </c>
      <c r="K402" s="315">
        <v>0</v>
      </c>
      <c r="L402" s="315">
        <v>0</v>
      </c>
      <c r="M402" s="315">
        <v>0</v>
      </c>
      <c r="N402" s="232">
        <v>0</v>
      </c>
      <c r="O402" s="232"/>
      <c r="P402" s="233"/>
    </row>
    <row r="403" spans="1:16">
      <c r="A403" s="224"/>
      <c r="B403" s="231"/>
      <c r="C403" s="171" t="s">
        <v>84</v>
      </c>
      <c r="D403" s="315">
        <v>0</v>
      </c>
      <c r="E403" s="315">
        <v>0</v>
      </c>
      <c r="F403" s="315">
        <v>0</v>
      </c>
      <c r="G403" s="315">
        <v>0</v>
      </c>
      <c r="H403" s="315">
        <v>0</v>
      </c>
      <c r="I403" s="315">
        <v>0</v>
      </c>
      <c r="J403" s="315">
        <v>0</v>
      </c>
      <c r="K403" s="315">
        <v>0</v>
      </c>
      <c r="L403" s="315">
        <v>0</v>
      </c>
      <c r="M403" s="315">
        <v>0</v>
      </c>
      <c r="N403" s="232">
        <v>0</v>
      </c>
      <c r="O403" s="232"/>
      <c r="P403" s="233"/>
    </row>
    <row r="404" spans="1:16">
      <c r="A404" s="224"/>
      <c r="B404" s="231"/>
      <c r="C404" s="171" t="s">
        <v>85</v>
      </c>
      <c r="D404" s="315">
        <v>0</v>
      </c>
      <c r="E404" s="315">
        <v>0</v>
      </c>
      <c r="F404" s="315">
        <v>0</v>
      </c>
      <c r="G404" s="315">
        <v>0</v>
      </c>
      <c r="H404" s="315">
        <v>0</v>
      </c>
      <c r="I404" s="315">
        <v>0</v>
      </c>
      <c r="J404" s="315">
        <v>0</v>
      </c>
      <c r="K404" s="315">
        <v>0</v>
      </c>
      <c r="L404" s="315">
        <v>0</v>
      </c>
      <c r="M404" s="315">
        <v>0</v>
      </c>
      <c r="N404" s="232">
        <v>0</v>
      </c>
      <c r="O404" s="232"/>
      <c r="P404" s="233"/>
    </row>
    <row r="405" spans="1:16">
      <c r="A405" s="224"/>
      <c r="B405" s="231"/>
      <c r="C405" s="171" t="s">
        <v>86</v>
      </c>
      <c r="D405" s="315">
        <v>0</v>
      </c>
      <c r="E405" s="315">
        <v>0</v>
      </c>
      <c r="F405" s="315">
        <v>0</v>
      </c>
      <c r="G405" s="315">
        <v>0</v>
      </c>
      <c r="H405" s="315">
        <v>0</v>
      </c>
      <c r="I405" s="315">
        <v>0</v>
      </c>
      <c r="J405" s="315">
        <v>0</v>
      </c>
      <c r="K405" s="315">
        <v>0</v>
      </c>
      <c r="L405" s="315">
        <v>0</v>
      </c>
      <c r="M405" s="315">
        <v>0</v>
      </c>
      <c r="N405" s="232">
        <v>0</v>
      </c>
      <c r="O405" s="232"/>
      <c r="P405" s="233"/>
    </row>
    <row r="406" spans="1:16">
      <c r="A406" s="224"/>
      <c r="B406" s="231"/>
      <c r="C406" s="171" t="s">
        <v>87</v>
      </c>
      <c r="D406" s="315">
        <v>0</v>
      </c>
      <c r="E406" s="315">
        <v>0</v>
      </c>
      <c r="F406" s="315">
        <v>0</v>
      </c>
      <c r="G406" s="315">
        <v>0</v>
      </c>
      <c r="H406" s="315">
        <v>0</v>
      </c>
      <c r="I406" s="315">
        <v>0</v>
      </c>
      <c r="J406" s="315">
        <v>0</v>
      </c>
      <c r="K406" s="315">
        <v>0</v>
      </c>
      <c r="L406" s="315">
        <v>0</v>
      </c>
      <c r="M406" s="315">
        <v>0</v>
      </c>
      <c r="N406" s="232">
        <v>0</v>
      </c>
      <c r="O406" s="232"/>
      <c r="P406" s="233"/>
    </row>
    <row r="407" spans="1:16">
      <c r="A407" s="224"/>
      <c r="B407" s="231"/>
      <c r="C407" s="171" t="s">
        <v>88</v>
      </c>
      <c r="D407" s="315">
        <v>0</v>
      </c>
      <c r="E407" s="315">
        <v>0</v>
      </c>
      <c r="F407" s="315">
        <v>0</v>
      </c>
      <c r="G407" s="315">
        <v>0</v>
      </c>
      <c r="H407" s="315">
        <v>0</v>
      </c>
      <c r="I407" s="315">
        <v>0</v>
      </c>
      <c r="J407" s="315">
        <v>0</v>
      </c>
      <c r="K407" s="315">
        <v>0</v>
      </c>
      <c r="L407" s="315">
        <v>0</v>
      </c>
      <c r="M407" s="315">
        <v>0</v>
      </c>
      <c r="N407" s="232">
        <v>0</v>
      </c>
      <c r="O407" s="232"/>
      <c r="P407" s="233"/>
    </row>
    <row r="408" spans="1:16">
      <c r="A408" s="224"/>
      <c r="B408" s="231"/>
      <c r="C408" s="171" t="s">
        <v>89</v>
      </c>
      <c r="D408" s="315">
        <v>0</v>
      </c>
      <c r="E408" s="315">
        <v>0</v>
      </c>
      <c r="F408" s="315">
        <v>0</v>
      </c>
      <c r="G408" s="315">
        <v>0</v>
      </c>
      <c r="H408" s="315">
        <v>0</v>
      </c>
      <c r="I408" s="315">
        <v>0</v>
      </c>
      <c r="J408" s="315">
        <v>0</v>
      </c>
      <c r="K408" s="315">
        <v>0</v>
      </c>
      <c r="L408" s="315">
        <v>0</v>
      </c>
      <c r="M408" s="315">
        <v>0</v>
      </c>
      <c r="N408" s="232">
        <v>0</v>
      </c>
      <c r="O408" s="232"/>
      <c r="P408" s="233"/>
    </row>
    <row r="409" spans="1:16">
      <c r="A409" s="224"/>
      <c r="B409" s="231"/>
      <c r="C409" s="171" t="s">
        <v>90</v>
      </c>
      <c r="D409" s="315">
        <v>0</v>
      </c>
      <c r="E409" s="315">
        <v>0</v>
      </c>
      <c r="F409" s="315">
        <v>0</v>
      </c>
      <c r="G409" s="315">
        <v>0</v>
      </c>
      <c r="H409" s="315">
        <v>0</v>
      </c>
      <c r="I409" s="315">
        <v>0</v>
      </c>
      <c r="J409" s="315">
        <v>0</v>
      </c>
      <c r="K409" s="315">
        <v>0</v>
      </c>
      <c r="L409" s="315">
        <v>0</v>
      </c>
      <c r="M409" s="315">
        <v>0</v>
      </c>
      <c r="N409" s="232">
        <v>0</v>
      </c>
      <c r="O409" s="232"/>
      <c r="P409" s="233"/>
    </row>
    <row r="410" spans="1:16">
      <c r="A410" s="224"/>
      <c r="B410" s="231"/>
      <c r="C410" s="171" t="s">
        <v>91</v>
      </c>
      <c r="D410" s="315">
        <v>0</v>
      </c>
      <c r="E410" s="315">
        <v>0</v>
      </c>
      <c r="F410" s="315">
        <v>0</v>
      </c>
      <c r="G410" s="315">
        <v>0</v>
      </c>
      <c r="H410" s="315">
        <v>0</v>
      </c>
      <c r="I410" s="315">
        <v>0</v>
      </c>
      <c r="J410" s="315">
        <v>0</v>
      </c>
      <c r="K410" s="315">
        <v>0</v>
      </c>
      <c r="L410" s="315">
        <v>0</v>
      </c>
      <c r="M410" s="315">
        <v>0</v>
      </c>
      <c r="N410" s="232">
        <v>0</v>
      </c>
      <c r="O410" s="232"/>
      <c r="P410" s="233"/>
    </row>
    <row r="411" spans="1:16">
      <c r="A411" s="224"/>
      <c r="B411" s="231"/>
      <c r="C411" s="171" t="s">
        <v>92</v>
      </c>
      <c r="D411" s="315">
        <v>0</v>
      </c>
      <c r="E411" s="315">
        <v>0</v>
      </c>
      <c r="F411" s="315">
        <v>0</v>
      </c>
      <c r="G411" s="315">
        <v>0</v>
      </c>
      <c r="H411" s="315">
        <v>0</v>
      </c>
      <c r="I411" s="315">
        <v>0</v>
      </c>
      <c r="J411" s="315">
        <v>0</v>
      </c>
      <c r="K411" s="315">
        <v>0</v>
      </c>
      <c r="L411" s="315">
        <v>0</v>
      </c>
      <c r="M411" s="315">
        <v>0</v>
      </c>
      <c r="N411" s="232">
        <v>0</v>
      </c>
      <c r="O411" s="232"/>
      <c r="P411" s="233"/>
    </row>
    <row r="412" spans="1:16">
      <c r="A412" s="224"/>
      <c r="B412" s="231"/>
      <c r="C412" s="171" t="s">
        <v>95</v>
      </c>
      <c r="D412" s="315">
        <v>0</v>
      </c>
      <c r="E412" s="315">
        <v>0</v>
      </c>
      <c r="F412" s="315">
        <v>0</v>
      </c>
      <c r="G412" s="315">
        <v>0</v>
      </c>
      <c r="H412" s="315">
        <v>0</v>
      </c>
      <c r="I412" s="315">
        <v>0</v>
      </c>
      <c r="J412" s="315">
        <v>0</v>
      </c>
      <c r="K412" s="315">
        <v>0</v>
      </c>
      <c r="L412" s="315">
        <v>0</v>
      </c>
      <c r="M412" s="315">
        <v>0</v>
      </c>
      <c r="N412" s="232">
        <v>0</v>
      </c>
      <c r="O412" s="232"/>
      <c r="P412" s="233"/>
    </row>
    <row r="413" spans="1:16">
      <c r="A413" s="224"/>
      <c r="B413" s="231"/>
      <c r="C413" s="171" t="s">
        <v>96</v>
      </c>
      <c r="D413" s="315">
        <v>0</v>
      </c>
      <c r="E413" s="315">
        <v>0</v>
      </c>
      <c r="F413" s="315">
        <v>0</v>
      </c>
      <c r="G413" s="315">
        <v>0</v>
      </c>
      <c r="H413" s="315">
        <v>0</v>
      </c>
      <c r="I413" s="315">
        <v>0</v>
      </c>
      <c r="J413" s="315">
        <v>0</v>
      </c>
      <c r="K413" s="315">
        <v>0</v>
      </c>
      <c r="L413" s="315">
        <v>0</v>
      </c>
      <c r="M413" s="315">
        <v>0</v>
      </c>
      <c r="N413" s="232">
        <v>0</v>
      </c>
      <c r="O413" s="232"/>
      <c r="P413" s="233"/>
    </row>
    <row r="414" spans="1:16">
      <c r="A414" s="224"/>
      <c r="B414" s="231"/>
      <c r="C414" s="171" t="s">
        <v>93</v>
      </c>
      <c r="D414" s="315">
        <v>0</v>
      </c>
      <c r="E414" s="315">
        <v>0</v>
      </c>
      <c r="F414" s="315">
        <v>0</v>
      </c>
      <c r="G414" s="315">
        <v>0</v>
      </c>
      <c r="H414" s="315">
        <v>0</v>
      </c>
      <c r="I414" s="315">
        <v>0</v>
      </c>
      <c r="J414" s="315">
        <v>0</v>
      </c>
      <c r="K414" s="315">
        <v>0</v>
      </c>
      <c r="L414" s="315">
        <v>0</v>
      </c>
      <c r="M414" s="315">
        <v>0</v>
      </c>
      <c r="N414" s="232">
        <v>0</v>
      </c>
      <c r="O414" s="232"/>
      <c r="P414" s="233"/>
    </row>
    <row r="415" spans="1:16">
      <c r="A415" s="224"/>
      <c r="B415" s="231"/>
      <c r="C415" s="171" t="s">
        <v>97</v>
      </c>
      <c r="D415" s="315">
        <v>0</v>
      </c>
      <c r="E415" s="315">
        <v>0</v>
      </c>
      <c r="F415" s="315">
        <v>0</v>
      </c>
      <c r="G415" s="315">
        <v>0</v>
      </c>
      <c r="H415" s="315">
        <v>0</v>
      </c>
      <c r="I415" s="315">
        <v>0</v>
      </c>
      <c r="J415" s="315">
        <v>0</v>
      </c>
      <c r="K415" s="315">
        <v>0</v>
      </c>
      <c r="L415" s="315">
        <v>0</v>
      </c>
      <c r="M415" s="315">
        <v>0</v>
      </c>
      <c r="N415" s="232">
        <v>0</v>
      </c>
      <c r="O415" s="232"/>
      <c r="P415" s="233"/>
    </row>
    <row r="416" spans="1:16">
      <c r="A416" s="224"/>
      <c r="B416" s="231"/>
      <c r="C416" s="172" t="s">
        <v>136</v>
      </c>
      <c r="D416" s="315">
        <v>0</v>
      </c>
      <c r="E416" s="315">
        <v>0</v>
      </c>
      <c r="F416" s="315">
        <v>0</v>
      </c>
      <c r="G416" s="315">
        <v>0</v>
      </c>
      <c r="H416" s="315">
        <v>0</v>
      </c>
      <c r="I416" s="315">
        <v>0</v>
      </c>
      <c r="J416" s="315">
        <v>0</v>
      </c>
      <c r="K416" s="315">
        <v>0</v>
      </c>
      <c r="L416" s="315">
        <v>0</v>
      </c>
      <c r="M416" s="315">
        <v>0</v>
      </c>
      <c r="N416" s="232">
        <v>0</v>
      </c>
      <c r="O416" s="232"/>
      <c r="P416" s="233"/>
    </row>
    <row r="417" spans="1:16">
      <c r="A417" s="224"/>
      <c r="B417" s="231" t="s">
        <v>164</v>
      </c>
      <c r="C417" s="171" t="s">
        <v>102</v>
      </c>
      <c r="D417" s="315">
        <v>0</v>
      </c>
      <c r="E417" s="315">
        <v>0</v>
      </c>
      <c r="F417" s="315">
        <v>0</v>
      </c>
      <c r="G417" s="315">
        <v>0</v>
      </c>
      <c r="H417" s="315">
        <v>0</v>
      </c>
      <c r="I417" s="315">
        <v>0</v>
      </c>
      <c r="J417" s="315">
        <v>0</v>
      </c>
      <c r="K417" s="315">
        <v>0</v>
      </c>
      <c r="L417" s="315">
        <v>0</v>
      </c>
      <c r="M417" s="315">
        <v>0</v>
      </c>
      <c r="N417" s="232">
        <v>0</v>
      </c>
      <c r="O417" s="232"/>
      <c r="P417" s="233"/>
    </row>
    <row r="418" spans="1:16">
      <c r="A418" s="224"/>
      <c r="B418" s="231"/>
      <c r="C418" s="171" t="s">
        <v>98</v>
      </c>
      <c r="D418" s="315">
        <v>0</v>
      </c>
      <c r="E418" s="315">
        <v>0</v>
      </c>
      <c r="F418" s="315">
        <v>0</v>
      </c>
      <c r="G418" s="315">
        <v>0</v>
      </c>
      <c r="H418" s="315">
        <v>0</v>
      </c>
      <c r="I418" s="315">
        <v>0</v>
      </c>
      <c r="J418" s="315">
        <v>0</v>
      </c>
      <c r="K418" s="315">
        <v>0</v>
      </c>
      <c r="L418" s="315">
        <v>0</v>
      </c>
      <c r="M418" s="315">
        <v>0</v>
      </c>
      <c r="N418" s="232">
        <v>0</v>
      </c>
      <c r="O418" s="232"/>
      <c r="P418" s="233"/>
    </row>
    <row r="419" spans="1:16">
      <c r="A419" s="224"/>
      <c r="B419" s="231"/>
      <c r="C419" s="171" t="s">
        <v>99</v>
      </c>
      <c r="D419" s="315">
        <v>0</v>
      </c>
      <c r="E419" s="315">
        <v>0</v>
      </c>
      <c r="F419" s="315">
        <v>0</v>
      </c>
      <c r="G419" s="315">
        <v>0</v>
      </c>
      <c r="H419" s="315">
        <v>0</v>
      </c>
      <c r="I419" s="315">
        <v>0</v>
      </c>
      <c r="J419" s="315">
        <v>0</v>
      </c>
      <c r="K419" s="315">
        <v>0</v>
      </c>
      <c r="L419" s="315">
        <v>0</v>
      </c>
      <c r="M419" s="315">
        <v>0</v>
      </c>
      <c r="N419" s="232">
        <v>0</v>
      </c>
      <c r="O419" s="232"/>
      <c r="P419" s="233"/>
    </row>
    <row r="420" spans="1:16">
      <c r="A420" s="224"/>
      <c r="B420" s="231"/>
      <c r="C420" s="171" t="s">
        <v>83</v>
      </c>
      <c r="D420" s="315">
        <v>0</v>
      </c>
      <c r="E420" s="315">
        <v>0</v>
      </c>
      <c r="F420" s="315">
        <v>0</v>
      </c>
      <c r="G420" s="315">
        <v>0</v>
      </c>
      <c r="H420" s="315">
        <v>0</v>
      </c>
      <c r="I420" s="315">
        <v>0</v>
      </c>
      <c r="J420" s="315">
        <v>0</v>
      </c>
      <c r="K420" s="315">
        <v>0</v>
      </c>
      <c r="L420" s="315">
        <v>0</v>
      </c>
      <c r="M420" s="315">
        <v>0</v>
      </c>
      <c r="N420" s="232">
        <v>0</v>
      </c>
      <c r="O420" s="232"/>
      <c r="P420" s="233"/>
    </row>
    <row r="421" spans="1:16">
      <c r="A421" s="224"/>
      <c r="B421" s="231"/>
      <c r="C421" s="171" t="s">
        <v>84</v>
      </c>
      <c r="D421" s="315">
        <v>0</v>
      </c>
      <c r="E421" s="315">
        <v>0</v>
      </c>
      <c r="F421" s="315">
        <v>0</v>
      </c>
      <c r="G421" s="315">
        <v>0</v>
      </c>
      <c r="H421" s="315">
        <v>0</v>
      </c>
      <c r="I421" s="315">
        <v>0</v>
      </c>
      <c r="J421" s="315">
        <v>0</v>
      </c>
      <c r="K421" s="315">
        <v>0</v>
      </c>
      <c r="L421" s="315">
        <v>0</v>
      </c>
      <c r="M421" s="315">
        <v>0</v>
      </c>
      <c r="N421" s="232">
        <v>0</v>
      </c>
      <c r="O421" s="232"/>
      <c r="P421" s="233"/>
    </row>
    <row r="422" spans="1:16">
      <c r="A422" s="224"/>
      <c r="B422" s="231"/>
      <c r="C422" s="171" t="s">
        <v>85</v>
      </c>
      <c r="D422" s="315">
        <v>0</v>
      </c>
      <c r="E422" s="315">
        <v>0</v>
      </c>
      <c r="F422" s="315">
        <v>0</v>
      </c>
      <c r="G422" s="315">
        <v>0</v>
      </c>
      <c r="H422" s="315">
        <v>0</v>
      </c>
      <c r="I422" s="315">
        <v>0</v>
      </c>
      <c r="J422" s="315">
        <v>0</v>
      </c>
      <c r="K422" s="315">
        <v>0</v>
      </c>
      <c r="L422" s="315">
        <v>0</v>
      </c>
      <c r="M422" s="315">
        <v>0</v>
      </c>
      <c r="N422" s="232">
        <v>0</v>
      </c>
      <c r="O422" s="232"/>
      <c r="P422" s="233"/>
    </row>
    <row r="423" spans="1:16">
      <c r="A423" s="224"/>
      <c r="B423" s="231"/>
      <c r="C423" s="171" t="s">
        <v>86</v>
      </c>
      <c r="D423" s="315">
        <v>0</v>
      </c>
      <c r="E423" s="315">
        <v>0</v>
      </c>
      <c r="F423" s="315">
        <v>0</v>
      </c>
      <c r="G423" s="315">
        <v>0</v>
      </c>
      <c r="H423" s="315">
        <v>0</v>
      </c>
      <c r="I423" s="315">
        <v>0</v>
      </c>
      <c r="J423" s="315">
        <v>0</v>
      </c>
      <c r="K423" s="315">
        <v>0</v>
      </c>
      <c r="L423" s="315">
        <v>0</v>
      </c>
      <c r="M423" s="315">
        <v>0</v>
      </c>
      <c r="N423" s="232">
        <v>0</v>
      </c>
      <c r="O423" s="232"/>
      <c r="P423" s="233"/>
    </row>
    <row r="424" spans="1:16">
      <c r="A424" s="224"/>
      <c r="B424" s="231"/>
      <c r="C424" s="171" t="s">
        <v>87</v>
      </c>
      <c r="D424" s="315">
        <v>0</v>
      </c>
      <c r="E424" s="315">
        <v>0</v>
      </c>
      <c r="F424" s="315">
        <v>0</v>
      </c>
      <c r="G424" s="315">
        <v>0</v>
      </c>
      <c r="H424" s="315">
        <v>0</v>
      </c>
      <c r="I424" s="315">
        <v>0</v>
      </c>
      <c r="J424" s="315">
        <v>0</v>
      </c>
      <c r="K424" s="315">
        <v>0</v>
      </c>
      <c r="L424" s="315">
        <v>0</v>
      </c>
      <c r="M424" s="315">
        <v>0</v>
      </c>
      <c r="N424" s="232">
        <v>0</v>
      </c>
      <c r="O424" s="232"/>
      <c r="P424" s="233"/>
    </row>
    <row r="425" spans="1:16">
      <c r="A425" s="224"/>
      <c r="B425" s="231"/>
      <c r="C425" s="171" t="s">
        <v>88</v>
      </c>
      <c r="D425" s="315">
        <v>0</v>
      </c>
      <c r="E425" s="315">
        <v>0</v>
      </c>
      <c r="F425" s="315">
        <v>0</v>
      </c>
      <c r="G425" s="315">
        <v>0</v>
      </c>
      <c r="H425" s="315">
        <v>0</v>
      </c>
      <c r="I425" s="315">
        <v>0</v>
      </c>
      <c r="J425" s="315">
        <v>0</v>
      </c>
      <c r="K425" s="315">
        <v>0</v>
      </c>
      <c r="L425" s="315">
        <v>0</v>
      </c>
      <c r="M425" s="315">
        <v>0</v>
      </c>
      <c r="N425" s="232">
        <v>0</v>
      </c>
      <c r="O425" s="232"/>
      <c r="P425" s="233"/>
    </row>
    <row r="426" spans="1:16">
      <c r="A426" s="224"/>
      <c r="B426" s="231"/>
      <c r="C426" s="171" t="s">
        <v>89</v>
      </c>
      <c r="D426" s="315">
        <v>0</v>
      </c>
      <c r="E426" s="315">
        <v>0</v>
      </c>
      <c r="F426" s="315">
        <v>0</v>
      </c>
      <c r="G426" s="315">
        <v>0</v>
      </c>
      <c r="H426" s="315">
        <v>0</v>
      </c>
      <c r="I426" s="315">
        <v>0</v>
      </c>
      <c r="J426" s="315">
        <v>0</v>
      </c>
      <c r="K426" s="315">
        <v>0</v>
      </c>
      <c r="L426" s="315">
        <v>0</v>
      </c>
      <c r="M426" s="315">
        <v>0</v>
      </c>
      <c r="N426" s="232">
        <v>0</v>
      </c>
      <c r="O426" s="232"/>
      <c r="P426" s="233"/>
    </row>
    <row r="427" spans="1:16">
      <c r="A427" s="224"/>
      <c r="B427" s="231"/>
      <c r="C427" s="171" t="s">
        <v>90</v>
      </c>
      <c r="D427" s="315">
        <v>0</v>
      </c>
      <c r="E427" s="315">
        <v>0</v>
      </c>
      <c r="F427" s="315">
        <v>0</v>
      </c>
      <c r="G427" s="315">
        <v>0</v>
      </c>
      <c r="H427" s="315">
        <v>0</v>
      </c>
      <c r="I427" s="315">
        <v>0</v>
      </c>
      <c r="J427" s="315">
        <v>0</v>
      </c>
      <c r="K427" s="315">
        <v>0</v>
      </c>
      <c r="L427" s="315">
        <v>0</v>
      </c>
      <c r="M427" s="315">
        <v>0</v>
      </c>
      <c r="N427" s="232">
        <v>0</v>
      </c>
      <c r="O427" s="232"/>
      <c r="P427" s="233"/>
    </row>
    <row r="428" spans="1:16">
      <c r="A428" s="224"/>
      <c r="B428" s="231"/>
      <c r="C428" s="171" t="s">
        <v>91</v>
      </c>
      <c r="D428" s="315">
        <v>0</v>
      </c>
      <c r="E428" s="315">
        <v>0</v>
      </c>
      <c r="F428" s="315">
        <v>0</v>
      </c>
      <c r="G428" s="315">
        <v>0</v>
      </c>
      <c r="H428" s="315">
        <v>0</v>
      </c>
      <c r="I428" s="315">
        <v>0</v>
      </c>
      <c r="J428" s="315">
        <v>0</v>
      </c>
      <c r="K428" s="315">
        <v>0</v>
      </c>
      <c r="L428" s="315">
        <v>0</v>
      </c>
      <c r="M428" s="315">
        <v>0</v>
      </c>
      <c r="N428" s="232">
        <v>0</v>
      </c>
      <c r="O428" s="232"/>
      <c r="P428" s="233"/>
    </row>
    <row r="429" spans="1:16">
      <c r="A429" s="224"/>
      <c r="B429" s="231"/>
      <c r="C429" s="171" t="s">
        <v>92</v>
      </c>
      <c r="D429" s="315">
        <v>0</v>
      </c>
      <c r="E429" s="315">
        <v>0</v>
      </c>
      <c r="F429" s="315">
        <v>0</v>
      </c>
      <c r="G429" s="315">
        <v>0</v>
      </c>
      <c r="H429" s="315">
        <v>0</v>
      </c>
      <c r="I429" s="315">
        <v>0</v>
      </c>
      <c r="J429" s="315">
        <v>0</v>
      </c>
      <c r="K429" s="315">
        <v>0</v>
      </c>
      <c r="L429" s="315">
        <v>0</v>
      </c>
      <c r="M429" s="315">
        <v>0</v>
      </c>
      <c r="N429" s="232">
        <v>0</v>
      </c>
      <c r="O429" s="232"/>
      <c r="P429" s="233"/>
    </row>
    <row r="430" spans="1:16">
      <c r="A430" s="224"/>
      <c r="B430" s="231"/>
      <c r="C430" s="171" t="s">
        <v>95</v>
      </c>
      <c r="D430" s="315">
        <v>0</v>
      </c>
      <c r="E430" s="315">
        <v>0</v>
      </c>
      <c r="F430" s="315">
        <v>0</v>
      </c>
      <c r="G430" s="315">
        <v>0</v>
      </c>
      <c r="H430" s="315">
        <v>0</v>
      </c>
      <c r="I430" s="315">
        <v>0</v>
      </c>
      <c r="J430" s="315">
        <v>0</v>
      </c>
      <c r="K430" s="315">
        <v>0</v>
      </c>
      <c r="L430" s="315">
        <v>0</v>
      </c>
      <c r="M430" s="315">
        <v>0</v>
      </c>
      <c r="N430" s="232">
        <v>0</v>
      </c>
      <c r="O430" s="232"/>
      <c r="P430" s="233"/>
    </row>
    <row r="431" spans="1:16">
      <c r="A431" s="224"/>
      <c r="B431" s="231"/>
      <c r="C431" s="171" t="s">
        <v>96</v>
      </c>
      <c r="D431" s="315">
        <v>0</v>
      </c>
      <c r="E431" s="315">
        <v>0</v>
      </c>
      <c r="F431" s="315">
        <v>0</v>
      </c>
      <c r="G431" s="315">
        <v>0</v>
      </c>
      <c r="H431" s="315">
        <v>0</v>
      </c>
      <c r="I431" s="315">
        <v>0</v>
      </c>
      <c r="J431" s="315">
        <v>0</v>
      </c>
      <c r="K431" s="315">
        <v>0</v>
      </c>
      <c r="L431" s="315">
        <v>0</v>
      </c>
      <c r="M431" s="315">
        <v>0</v>
      </c>
      <c r="N431" s="232">
        <v>0</v>
      </c>
      <c r="O431" s="232"/>
      <c r="P431" s="233"/>
    </row>
    <row r="432" spans="1:16">
      <c r="A432" s="224"/>
      <c r="B432" s="231"/>
      <c r="C432" s="171" t="s">
        <v>93</v>
      </c>
      <c r="D432" s="315">
        <v>0</v>
      </c>
      <c r="E432" s="315">
        <v>0</v>
      </c>
      <c r="F432" s="315">
        <v>0</v>
      </c>
      <c r="G432" s="315">
        <v>0</v>
      </c>
      <c r="H432" s="315">
        <v>0</v>
      </c>
      <c r="I432" s="315">
        <v>0</v>
      </c>
      <c r="J432" s="315">
        <v>0</v>
      </c>
      <c r="K432" s="315">
        <v>0</v>
      </c>
      <c r="L432" s="315">
        <v>0</v>
      </c>
      <c r="M432" s="315">
        <v>0</v>
      </c>
      <c r="N432" s="232">
        <v>0</v>
      </c>
      <c r="O432" s="232"/>
      <c r="P432" s="233"/>
    </row>
    <row r="433" spans="1:16">
      <c r="A433" s="224"/>
      <c r="B433" s="231"/>
      <c r="C433" s="171" t="s">
        <v>97</v>
      </c>
      <c r="D433" s="315">
        <v>0</v>
      </c>
      <c r="E433" s="315">
        <v>0</v>
      </c>
      <c r="F433" s="315">
        <v>0</v>
      </c>
      <c r="G433" s="315">
        <v>0</v>
      </c>
      <c r="H433" s="315">
        <v>0</v>
      </c>
      <c r="I433" s="315">
        <v>0</v>
      </c>
      <c r="J433" s="315">
        <v>0</v>
      </c>
      <c r="K433" s="315">
        <v>0</v>
      </c>
      <c r="L433" s="315">
        <v>0</v>
      </c>
      <c r="M433" s="315">
        <v>0</v>
      </c>
      <c r="N433" s="232">
        <v>0</v>
      </c>
      <c r="O433" s="232"/>
      <c r="P433" s="233"/>
    </row>
    <row r="434" spans="1:16">
      <c r="A434" s="224"/>
      <c r="B434" s="231"/>
      <c r="C434" s="172" t="s">
        <v>136</v>
      </c>
      <c r="D434" s="315">
        <v>0</v>
      </c>
      <c r="E434" s="315">
        <v>0</v>
      </c>
      <c r="F434" s="315">
        <v>0</v>
      </c>
      <c r="G434" s="315">
        <v>0</v>
      </c>
      <c r="H434" s="315">
        <v>0</v>
      </c>
      <c r="I434" s="315">
        <v>0</v>
      </c>
      <c r="J434" s="315">
        <v>0</v>
      </c>
      <c r="K434" s="315">
        <v>0</v>
      </c>
      <c r="L434" s="315">
        <v>0</v>
      </c>
      <c r="M434" s="315">
        <v>0</v>
      </c>
      <c r="N434" s="232">
        <v>0</v>
      </c>
      <c r="O434" s="232"/>
      <c r="P434" s="233"/>
    </row>
    <row r="435" spans="1:16">
      <c r="A435" s="224"/>
      <c r="B435" s="231" t="s">
        <v>165</v>
      </c>
      <c r="C435" s="171" t="s">
        <v>102</v>
      </c>
      <c r="D435" s="315">
        <v>0</v>
      </c>
      <c r="E435" s="315">
        <v>0</v>
      </c>
      <c r="F435" s="315">
        <v>0</v>
      </c>
      <c r="G435" s="315">
        <v>0</v>
      </c>
      <c r="H435" s="315">
        <v>0</v>
      </c>
      <c r="I435" s="315">
        <v>0</v>
      </c>
      <c r="J435" s="315">
        <v>0</v>
      </c>
      <c r="K435" s="315">
        <v>0</v>
      </c>
      <c r="L435" s="315">
        <v>0</v>
      </c>
      <c r="M435" s="315">
        <v>0</v>
      </c>
      <c r="N435" s="232">
        <v>0</v>
      </c>
      <c r="O435" s="232"/>
      <c r="P435" s="233"/>
    </row>
    <row r="436" spans="1:16">
      <c r="A436" s="224"/>
      <c r="B436" s="231"/>
      <c r="C436" s="171" t="s">
        <v>98</v>
      </c>
      <c r="D436" s="315">
        <v>0</v>
      </c>
      <c r="E436" s="315">
        <v>0</v>
      </c>
      <c r="F436" s="315">
        <v>0</v>
      </c>
      <c r="G436" s="315">
        <v>0</v>
      </c>
      <c r="H436" s="315">
        <v>0</v>
      </c>
      <c r="I436" s="315">
        <v>0</v>
      </c>
      <c r="J436" s="315">
        <v>0</v>
      </c>
      <c r="K436" s="315">
        <v>0</v>
      </c>
      <c r="L436" s="315">
        <v>0</v>
      </c>
      <c r="M436" s="315">
        <v>0</v>
      </c>
      <c r="N436" s="232">
        <v>0</v>
      </c>
      <c r="O436" s="232"/>
      <c r="P436" s="233"/>
    </row>
    <row r="437" spans="1:16">
      <c r="A437" s="224"/>
      <c r="B437" s="231"/>
      <c r="C437" s="171" t="s">
        <v>99</v>
      </c>
      <c r="D437" s="315">
        <v>0</v>
      </c>
      <c r="E437" s="315">
        <v>0</v>
      </c>
      <c r="F437" s="315">
        <v>0</v>
      </c>
      <c r="G437" s="315">
        <v>0</v>
      </c>
      <c r="H437" s="315">
        <v>0</v>
      </c>
      <c r="I437" s="315">
        <v>0</v>
      </c>
      <c r="J437" s="315">
        <v>0</v>
      </c>
      <c r="K437" s="315">
        <v>0</v>
      </c>
      <c r="L437" s="315">
        <v>0</v>
      </c>
      <c r="M437" s="315">
        <v>0</v>
      </c>
      <c r="N437" s="232">
        <v>0</v>
      </c>
      <c r="O437" s="232"/>
      <c r="P437" s="233"/>
    </row>
    <row r="438" spans="1:16">
      <c r="A438" s="224"/>
      <c r="B438" s="231"/>
      <c r="C438" s="171" t="s">
        <v>83</v>
      </c>
      <c r="D438" s="315">
        <v>0</v>
      </c>
      <c r="E438" s="315">
        <v>0</v>
      </c>
      <c r="F438" s="315">
        <v>0</v>
      </c>
      <c r="G438" s="315">
        <v>0</v>
      </c>
      <c r="H438" s="315">
        <v>0</v>
      </c>
      <c r="I438" s="315">
        <v>0</v>
      </c>
      <c r="J438" s="315">
        <v>0</v>
      </c>
      <c r="K438" s="315">
        <v>0</v>
      </c>
      <c r="L438" s="315">
        <v>0</v>
      </c>
      <c r="M438" s="315">
        <v>0</v>
      </c>
      <c r="N438" s="232">
        <v>0</v>
      </c>
      <c r="O438" s="232"/>
      <c r="P438" s="233"/>
    </row>
    <row r="439" spans="1:16">
      <c r="A439" s="224"/>
      <c r="B439" s="231"/>
      <c r="C439" s="171" t="s">
        <v>84</v>
      </c>
      <c r="D439" s="315">
        <v>0</v>
      </c>
      <c r="E439" s="315">
        <v>0</v>
      </c>
      <c r="F439" s="315">
        <v>0</v>
      </c>
      <c r="G439" s="315">
        <v>0</v>
      </c>
      <c r="H439" s="315">
        <v>0</v>
      </c>
      <c r="I439" s="315">
        <v>0</v>
      </c>
      <c r="J439" s="315">
        <v>0</v>
      </c>
      <c r="K439" s="315">
        <v>0</v>
      </c>
      <c r="L439" s="315">
        <v>0</v>
      </c>
      <c r="M439" s="315">
        <v>0</v>
      </c>
      <c r="N439" s="232">
        <v>0</v>
      </c>
      <c r="O439" s="232"/>
      <c r="P439" s="233"/>
    </row>
    <row r="440" spans="1:16">
      <c r="A440" s="224"/>
      <c r="B440" s="231"/>
      <c r="C440" s="171" t="s">
        <v>85</v>
      </c>
      <c r="D440" s="315">
        <v>0</v>
      </c>
      <c r="E440" s="315">
        <v>0</v>
      </c>
      <c r="F440" s="315">
        <v>0</v>
      </c>
      <c r="G440" s="315">
        <v>0</v>
      </c>
      <c r="H440" s="315">
        <v>0</v>
      </c>
      <c r="I440" s="315">
        <v>0</v>
      </c>
      <c r="J440" s="315">
        <v>0</v>
      </c>
      <c r="K440" s="315">
        <v>0</v>
      </c>
      <c r="L440" s="315">
        <v>0</v>
      </c>
      <c r="M440" s="315">
        <v>0</v>
      </c>
      <c r="N440" s="232">
        <v>0</v>
      </c>
      <c r="O440" s="232"/>
      <c r="P440" s="233"/>
    </row>
    <row r="441" spans="1:16">
      <c r="A441" s="224"/>
      <c r="B441" s="231"/>
      <c r="C441" s="171" t="s">
        <v>86</v>
      </c>
      <c r="D441" s="315">
        <v>0</v>
      </c>
      <c r="E441" s="315">
        <v>0</v>
      </c>
      <c r="F441" s="315">
        <v>0</v>
      </c>
      <c r="G441" s="315">
        <v>0</v>
      </c>
      <c r="H441" s="315">
        <v>0</v>
      </c>
      <c r="I441" s="315">
        <v>0</v>
      </c>
      <c r="J441" s="315">
        <v>0</v>
      </c>
      <c r="K441" s="315">
        <v>0</v>
      </c>
      <c r="L441" s="315">
        <v>0</v>
      </c>
      <c r="M441" s="315">
        <v>0</v>
      </c>
      <c r="N441" s="232">
        <v>0</v>
      </c>
      <c r="O441" s="232"/>
      <c r="P441" s="233"/>
    </row>
    <row r="442" spans="1:16">
      <c r="A442" s="224"/>
      <c r="B442" s="231"/>
      <c r="C442" s="171" t="s">
        <v>87</v>
      </c>
      <c r="D442" s="315">
        <v>0</v>
      </c>
      <c r="E442" s="315">
        <v>0</v>
      </c>
      <c r="F442" s="315">
        <v>0</v>
      </c>
      <c r="G442" s="315">
        <v>0</v>
      </c>
      <c r="H442" s="315">
        <v>0</v>
      </c>
      <c r="I442" s="315">
        <v>0</v>
      </c>
      <c r="J442" s="315">
        <v>0</v>
      </c>
      <c r="K442" s="315">
        <v>0</v>
      </c>
      <c r="L442" s="315">
        <v>0</v>
      </c>
      <c r="M442" s="315">
        <v>0</v>
      </c>
      <c r="N442" s="232">
        <v>0</v>
      </c>
      <c r="O442" s="232"/>
      <c r="P442" s="233"/>
    </row>
    <row r="443" spans="1:16">
      <c r="A443" s="224"/>
      <c r="B443" s="231"/>
      <c r="C443" s="171" t="s">
        <v>88</v>
      </c>
      <c r="D443" s="315">
        <v>0</v>
      </c>
      <c r="E443" s="315">
        <v>0</v>
      </c>
      <c r="F443" s="315">
        <v>0</v>
      </c>
      <c r="G443" s="315">
        <v>0</v>
      </c>
      <c r="H443" s="315">
        <v>0</v>
      </c>
      <c r="I443" s="315">
        <v>0</v>
      </c>
      <c r="J443" s="315">
        <v>0</v>
      </c>
      <c r="K443" s="315">
        <v>0</v>
      </c>
      <c r="L443" s="315">
        <v>0</v>
      </c>
      <c r="M443" s="315">
        <v>0</v>
      </c>
      <c r="N443" s="232">
        <v>0</v>
      </c>
      <c r="O443" s="232"/>
      <c r="P443" s="233"/>
    </row>
    <row r="444" spans="1:16">
      <c r="A444" s="224"/>
      <c r="B444" s="231"/>
      <c r="C444" s="171" t="s">
        <v>89</v>
      </c>
      <c r="D444" s="315">
        <v>0</v>
      </c>
      <c r="E444" s="315">
        <v>0</v>
      </c>
      <c r="F444" s="315">
        <v>0</v>
      </c>
      <c r="G444" s="315">
        <v>0</v>
      </c>
      <c r="H444" s="315">
        <v>0</v>
      </c>
      <c r="I444" s="315">
        <v>0</v>
      </c>
      <c r="J444" s="315">
        <v>0</v>
      </c>
      <c r="K444" s="315">
        <v>0</v>
      </c>
      <c r="L444" s="315">
        <v>0</v>
      </c>
      <c r="M444" s="315">
        <v>0</v>
      </c>
      <c r="N444" s="232">
        <v>0</v>
      </c>
      <c r="O444" s="232"/>
      <c r="P444" s="233"/>
    </row>
    <row r="445" spans="1:16">
      <c r="A445" s="224"/>
      <c r="B445" s="231"/>
      <c r="C445" s="171" t="s">
        <v>90</v>
      </c>
      <c r="D445" s="315">
        <v>0</v>
      </c>
      <c r="E445" s="315">
        <v>0</v>
      </c>
      <c r="F445" s="315">
        <v>0</v>
      </c>
      <c r="G445" s="315">
        <v>0</v>
      </c>
      <c r="H445" s="315">
        <v>0</v>
      </c>
      <c r="I445" s="315">
        <v>0</v>
      </c>
      <c r="J445" s="315">
        <v>0</v>
      </c>
      <c r="K445" s="315">
        <v>0</v>
      </c>
      <c r="L445" s="315">
        <v>0</v>
      </c>
      <c r="M445" s="315">
        <v>0</v>
      </c>
      <c r="N445" s="232">
        <v>0</v>
      </c>
      <c r="O445" s="232"/>
      <c r="P445" s="233"/>
    </row>
    <row r="446" spans="1:16">
      <c r="A446" s="224"/>
      <c r="B446" s="231"/>
      <c r="C446" s="171" t="s">
        <v>91</v>
      </c>
      <c r="D446" s="315">
        <v>0</v>
      </c>
      <c r="E446" s="315">
        <v>0</v>
      </c>
      <c r="F446" s="315">
        <v>0</v>
      </c>
      <c r="G446" s="315">
        <v>0</v>
      </c>
      <c r="H446" s="315">
        <v>0</v>
      </c>
      <c r="I446" s="315">
        <v>0</v>
      </c>
      <c r="J446" s="315">
        <v>0</v>
      </c>
      <c r="K446" s="315">
        <v>0</v>
      </c>
      <c r="L446" s="315">
        <v>0</v>
      </c>
      <c r="M446" s="315">
        <v>0</v>
      </c>
      <c r="N446" s="232">
        <v>0</v>
      </c>
      <c r="O446" s="232"/>
      <c r="P446" s="233"/>
    </row>
    <row r="447" spans="1:16">
      <c r="A447" s="224"/>
      <c r="B447" s="231"/>
      <c r="C447" s="171" t="s">
        <v>92</v>
      </c>
      <c r="D447" s="315">
        <v>0</v>
      </c>
      <c r="E447" s="315">
        <v>0</v>
      </c>
      <c r="F447" s="315">
        <v>0</v>
      </c>
      <c r="G447" s="315">
        <v>0</v>
      </c>
      <c r="H447" s="315">
        <v>0</v>
      </c>
      <c r="I447" s="315">
        <v>0</v>
      </c>
      <c r="J447" s="315">
        <v>0</v>
      </c>
      <c r="K447" s="315">
        <v>0</v>
      </c>
      <c r="L447" s="315">
        <v>0</v>
      </c>
      <c r="M447" s="315">
        <v>0</v>
      </c>
      <c r="N447" s="232">
        <v>0</v>
      </c>
      <c r="O447" s="232"/>
      <c r="P447" s="233"/>
    </row>
    <row r="448" spans="1:16">
      <c r="A448" s="224"/>
      <c r="B448" s="231"/>
      <c r="C448" s="171" t="s">
        <v>95</v>
      </c>
      <c r="D448" s="315">
        <v>0</v>
      </c>
      <c r="E448" s="315">
        <v>0</v>
      </c>
      <c r="F448" s="315">
        <v>0</v>
      </c>
      <c r="G448" s="315">
        <v>0</v>
      </c>
      <c r="H448" s="315">
        <v>0</v>
      </c>
      <c r="I448" s="315">
        <v>0</v>
      </c>
      <c r="J448" s="315">
        <v>0</v>
      </c>
      <c r="K448" s="315">
        <v>0</v>
      </c>
      <c r="L448" s="315">
        <v>0</v>
      </c>
      <c r="M448" s="315">
        <v>0</v>
      </c>
      <c r="N448" s="232">
        <v>0</v>
      </c>
      <c r="O448" s="232"/>
      <c r="P448" s="233"/>
    </row>
    <row r="449" spans="1:16">
      <c r="A449" s="224"/>
      <c r="B449" s="231"/>
      <c r="C449" s="171" t="s">
        <v>96</v>
      </c>
      <c r="D449" s="315">
        <v>0</v>
      </c>
      <c r="E449" s="315">
        <v>0</v>
      </c>
      <c r="F449" s="315">
        <v>0</v>
      </c>
      <c r="G449" s="315">
        <v>0</v>
      </c>
      <c r="H449" s="315">
        <v>0</v>
      </c>
      <c r="I449" s="315">
        <v>0</v>
      </c>
      <c r="J449" s="315">
        <v>0</v>
      </c>
      <c r="K449" s="315">
        <v>0</v>
      </c>
      <c r="L449" s="315">
        <v>0</v>
      </c>
      <c r="M449" s="315">
        <v>0</v>
      </c>
      <c r="N449" s="232">
        <v>0</v>
      </c>
      <c r="O449" s="232"/>
      <c r="P449" s="233"/>
    </row>
    <row r="450" spans="1:16">
      <c r="A450" s="224"/>
      <c r="B450" s="231"/>
      <c r="C450" s="171" t="s">
        <v>93</v>
      </c>
      <c r="D450" s="315">
        <v>0</v>
      </c>
      <c r="E450" s="315">
        <v>0</v>
      </c>
      <c r="F450" s="315">
        <v>0</v>
      </c>
      <c r="G450" s="315">
        <v>0</v>
      </c>
      <c r="H450" s="315">
        <v>0</v>
      </c>
      <c r="I450" s="315">
        <v>0</v>
      </c>
      <c r="J450" s="315">
        <v>0</v>
      </c>
      <c r="K450" s="315">
        <v>0</v>
      </c>
      <c r="L450" s="315">
        <v>0</v>
      </c>
      <c r="M450" s="315">
        <v>0</v>
      </c>
      <c r="N450" s="232">
        <v>0</v>
      </c>
      <c r="O450" s="232"/>
      <c r="P450" s="233"/>
    </row>
    <row r="451" spans="1:16">
      <c r="A451" s="224"/>
      <c r="B451" s="231"/>
      <c r="C451" s="171" t="s">
        <v>97</v>
      </c>
      <c r="D451" s="315">
        <v>0</v>
      </c>
      <c r="E451" s="315">
        <v>0</v>
      </c>
      <c r="F451" s="315">
        <v>0</v>
      </c>
      <c r="G451" s="315">
        <v>0</v>
      </c>
      <c r="H451" s="315">
        <v>0</v>
      </c>
      <c r="I451" s="315">
        <v>0</v>
      </c>
      <c r="J451" s="315">
        <v>0</v>
      </c>
      <c r="K451" s="315">
        <v>0</v>
      </c>
      <c r="L451" s="315">
        <v>0</v>
      </c>
      <c r="M451" s="315">
        <v>0</v>
      </c>
      <c r="N451" s="232">
        <v>0</v>
      </c>
      <c r="O451" s="232"/>
      <c r="P451" s="233"/>
    </row>
    <row r="452" spans="1:16">
      <c r="A452" s="224"/>
      <c r="B452" s="231"/>
      <c r="C452" s="172" t="s">
        <v>136</v>
      </c>
      <c r="D452" s="315">
        <v>0</v>
      </c>
      <c r="E452" s="315">
        <v>0</v>
      </c>
      <c r="F452" s="315">
        <v>0</v>
      </c>
      <c r="G452" s="315">
        <v>0</v>
      </c>
      <c r="H452" s="315">
        <v>0</v>
      </c>
      <c r="I452" s="315">
        <v>0</v>
      </c>
      <c r="J452" s="315">
        <v>0</v>
      </c>
      <c r="K452" s="315">
        <v>0</v>
      </c>
      <c r="L452" s="315">
        <v>0</v>
      </c>
      <c r="M452" s="315">
        <v>0</v>
      </c>
      <c r="N452" s="232">
        <v>0</v>
      </c>
      <c r="O452" s="232"/>
      <c r="P452" s="233"/>
    </row>
    <row r="453" spans="1:16">
      <c r="A453" s="224"/>
      <c r="B453" s="231" t="s">
        <v>166</v>
      </c>
      <c r="C453" s="171" t="s">
        <v>102</v>
      </c>
      <c r="D453" s="315">
        <v>0</v>
      </c>
      <c r="E453" s="315">
        <v>0</v>
      </c>
      <c r="F453" s="315">
        <v>0</v>
      </c>
      <c r="G453" s="315">
        <v>0</v>
      </c>
      <c r="H453" s="315">
        <v>0</v>
      </c>
      <c r="I453" s="315">
        <v>0</v>
      </c>
      <c r="J453" s="315">
        <v>0</v>
      </c>
      <c r="K453" s="315">
        <v>0</v>
      </c>
      <c r="L453" s="315">
        <v>0</v>
      </c>
      <c r="M453" s="315">
        <v>0</v>
      </c>
      <c r="N453" s="232">
        <v>0</v>
      </c>
      <c r="O453" s="232"/>
      <c r="P453" s="233"/>
    </row>
    <row r="454" spans="1:16">
      <c r="A454" s="224"/>
      <c r="B454" s="231"/>
      <c r="C454" s="171" t="s">
        <v>98</v>
      </c>
      <c r="D454" s="315">
        <v>0</v>
      </c>
      <c r="E454" s="315">
        <v>0</v>
      </c>
      <c r="F454" s="315">
        <v>0</v>
      </c>
      <c r="G454" s="315">
        <v>0</v>
      </c>
      <c r="H454" s="315">
        <v>0</v>
      </c>
      <c r="I454" s="315">
        <v>0</v>
      </c>
      <c r="J454" s="315">
        <v>0</v>
      </c>
      <c r="K454" s="315">
        <v>0</v>
      </c>
      <c r="L454" s="315">
        <v>0</v>
      </c>
      <c r="M454" s="315">
        <v>0</v>
      </c>
      <c r="N454" s="232">
        <v>0</v>
      </c>
      <c r="O454" s="232"/>
      <c r="P454" s="233"/>
    </row>
    <row r="455" spans="1:16">
      <c r="A455" s="224"/>
      <c r="B455" s="231"/>
      <c r="C455" s="171" t="s">
        <v>99</v>
      </c>
      <c r="D455" s="315">
        <v>0</v>
      </c>
      <c r="E455" s="315">
        <v>0</v>
      </c>
      <c r="F455" s="315">
        <v>0</v>
      </c>
      <c r="G455" s="315">
        <v>0</v>
      </c>
      <c r="H455" s="315">
        <v>0</v>
      </c>
      <c r="I455" s="315">
        <v>0</v>
      </c>
      <c r="J455" s="315">
        <v>0</v>
      </c>
      <c r="K455" s="315">
        <v>0</v>
      </c>
      <c r="L455" s="315">
        <v>0</v>
      </c>
      <c r="M455" s="315">
        <v>0</v>
      </c>
      <c r="N455" s="232">
        <v>0</v>
      </c>
      <c r="O455" s="232"/>
      <c r="P455" s="233"/>
    </row>
    <row r="456" spans="1:16">
      <c r="A456" s="224"/>
      <c r="B456" s="231"/>
      <c r="C456" s="171" t="s">
        <v>83</v>
      </c>
      <c r="D456" s="315">
        <v>0</v>
      </c>
      <c r="E456" s="315">
        <v>0</v>
      </c>
      <c r="F456" s="315">
        <v>0</v>
      </c>
      <c r="G456" s="315">
        <v>0</v>
      </c>
      <c r="H456" s="315">
        <v>0</v>
      </c>
      <c r="I456" s="315">
        <v>0</v>
      </c>
      <c r="J456" s="315">
        <v>0</v>
      </c>
      <c r="K456" s="315">
        <v>0</v>
      </c>
      <c r="L456" s="315">
        <v>0</v>
      </c>
      <c r="M456" s="315">
        <v>0</v>
      </c>
      <c r="N456" s="232">
        <v>0</v>
      </c>
      <c r="O456" s="232"/>
      <c r="P456" s="233"/>
    </row>
    <row r="457" spans="1:16">
      <c r="A457" s="224"/>
      <c r="B457" s="231"/>
      <c r="C457" s="171" t="s">
        <v>84</v>
      </c>
      <c r="D457" s="315">
        <v>0</v>
      </c>
      <c r="E457" s="315">
        <v>0</v>
      </c>
      <c r="F457" s="315">
        <v>0</v>
      </c>
      <c r="G457" s="315">
        <v>0</v>
      </c>
      <c r="H457" s="315">
        <v>0</v>
      </c>
      <c r="I457" s="315">
        <v>0</v>
      </c>
      <c r="J457" s="315">
        <v>0</v>
      </c>
      <c r="K457" s="315">
        <v>0</v>
      </c>
      <c r="L457" s="315">
        <v>0</v>
      </c>
      <c r="M457" s="315">
        <v>0</v>
      </c>
      <c r="N457" s="232">
        <v>0</v>
      </c>
      <c r="O457" s="232"/>
      <c r="P457" s="233"/>
    </row>
    <row r="458" spans="1:16">
      <c r="A458" s="224"/>
      <c r="B458" s="231"/>
      <c r="C458" s="171" t="s">
        <v>85</v>
      </c>
      <c r="D458" s="315">
        <v>0</v>
      </c>
      <c r="E458" s="315">
        <v>0</v>
      </c>
      <c r="F458" s="315">
        <v>0</v>
      </c>
      <c r="G458" s="315">
        <v>0</v>
      </c>
      <c r="H458" s="315">
        <v>0</v>
      </c>
      <c r="I458" s="315">
        <v>0</v>
      </c>
      <c r="J458" s="315">
        <v>0</v>
      </c>
      <c r="K458" s="315">
        <v>0</v>
      </c>
      <c r="L458" s="315">
        <v>0</v>
      </c>
      <c r="M458" s="315">
        <v>0</v>
      </c>
      <c r="N458" s="232">
        <v>0</v>
      </c>
      <c r="O458" s="232"/>
      <c r="P458" s="233"/>
    </row>
    <row r="459" spans="1:16">
      <c r="A459" s="224"/>
      <c r="B459" s="231"/>
      <c r="C459" s="171" t="s">
        <v>86</v>
      </c>
      <c r="D459" s="315">
        <v>0</v>
      </c>
      <c r="E459" s="315">
        <v>0</v>
      </c>
      <c r="F459" s="315">
        <v>0</v>
      </c>
      <c r="G459" s="315">
        <v>0</v>
      </c>
      <c r="H459" s="315">
        <v>0</v>
      </c>
      <c r="I459" s="315">
        <v>0</v>
      </c>
      <c r="J459" s="315">
        <v>0</v>
      </c>
      <c r="K459" s="315">
        <v>0</v>
      </c>
      <c r="L459" s="315">
        <v>0</v>
      </c>
      <c r="M459" s="315">
        <v>0</v>
      </c>
      <c r="N459" s="232">
        <v>0</v>
      </c>
      <c r="O459" s="232"/>
      <c r="P459" s="233"/>
    </row>
    <row r="460" spans="1:16">
      <c r="A460" s="224"/>
      <c r="B460" s="231"/>
      <c r="C460" s="171" t="s">
        <v>87</v>
      </c>
      <c r="D460" s="315">
        <v>0</v>
      </c>
      <c r="E460" s="315">
        <v>0</v>
      </c>
      <c r="F460" s="315">
        <v>0</v>
      </c>
      <c r="G460" s="315">
        <v>0</v>
      </c>
      <c r="H460" s="315">
        <v>0</v>
      </c>
      <c r="I460" s="315">
        <v>0</v>
      </c>
      <c r="J460" s="315">
        <v>0</v>
      </c>
      <c r="K460" s="315">
        <v>0</v>
      </c>
      <c r="L460" s="315">
        <v>0</v>
      </c>
      <c r="M460" s="315">
        <v>0</v>
      </c>
      <c r="N460" s="232">
        <v>0</v>
      </c>
      <c r="O460" s="232"/>
      <c r="P460" s="233"/>
    </row>
    <row r="461" spans="1:16">
      <c r="A461" s="224"/>
      <c r="B461" s="231"/>
      <c r="C461" s="171" t="s">
        <v>88</v>
      </c>
      <c r="D461" s="315">
        <v>0</v>
      </c>
      <c r="E461" s="315">
        <v>0</v>
      </c>
      <c r="F461" s="315">
        <v>0</v>
      </c>
      <c r="G461" s="315">
        <v>0</v>
      </c>
      <c r="H461" s="315">
        <v>0</v>
      </c>
      <c r="I461" s="315">
        <v>0</v>
      </c>
      <c r="J461" s="315">
        <v>0</v>
      </c>
      <c r="K461" s="315">
        <v>0</v>
      </c>
      <c r="L461" s="315">
        <v>0</v>
      </c>
      <c r="M461" s="315">
        <v>0</v>
      </c>
      <c r="N461" s="232">
        <v>0</v>
      </c>
      <c r="O461" s="232"/>
      <c r="P461" s="233"/>
    </row>
    <row r="462" spans="1:16">
      <c r="A462" s="224"/>
      <c r="B462" s="231"/>
      <c r="C462" s="171" t="s">
        <v>89</v>
      </c>
      <c r="D462" s="315">
        <v>0</v>
      </c>
      <c r="E462" s="315">
        <v>0</v>
      </c>
      <c r="F462" s="315">
        <v>0</v>
      </c>
      <c r="G462" s="315">
        <v>0</v>
      </c>
      <c r="H462" s="315">
        <v>0</v>
      </c>
      <c r="I462" s="315">
        <v>0</v>
      </c>
      <c r="J462" s="315">
        <v>0</v>
      </c>
      <c r="K462" s="315">
        <v>0</v>
      </c>
      <c r="L462" s="315">
        <v>0</v>
      </c>
      <c r="M462" s="315">
        <v>0</v>
      </c>
      <c r="N462" s="232">
        <v>0</v>
      </c>
      <c r="O462" s="232"/>
      <c r="P462" s="233"/>
    </row>
    <row r="463" spans="1:16">
      <c r="A463" s="224"/>
      <c r="B463" s="231"/>
      <c r="C463" s="171" t="s">
        <v>90</v>
      </c>
      <c r="D463" s="315">
        <v>0</v>
      </c>
      <c r="E463" s="315">
        <v>0</v>
      </c>
      <c r="F463" s="315">
        <v>0</v>
      </c>
      <c r="G463" s="315">
        <v>0</v>
      </c>
      <c r="H463" s="315">
        <v>0</v>
      </c>
      <c r="I463" s="315">
        <v>0</v>
      </c>
      <c r="J463" s="315">
        <v>0</v>
      </c>
      <c r="K463" s="315">
        <v>0</v>
      </c>
      <c r="L463" s="315">
        <v>0</v>
      </c>
      <c r="M463" s="315">
        <v>0</v>
      </c>
      <c r="N463" s="232">
        <v>0</v>
      </c>
      <c r="O463" s="232"/>
      <c r="P463" s="233"/>
    </row>
    <row r="464" spans="1:16">
      <c r="A464" s="224"/>
      <c r="B464" s="231"/>
      <c r="C464" s="171" t="s">
        <v>91</v>
      </c>
      <c r="D464" s="315">
        <v>0</v>
      </c>
      <c r="E464" s="315">
        <v>0</v>
      </c>
      <c r="F464" s="315">
        <v>0</v>
      </c>
      <c r="G464" s="315">
        <v>0</v>
      </c>
      <c r="H464" s="315">
        <v>0</v>
      </c>
      <c r="I464" s="315">
        <v>0</v>
      </c>
      <c r="J464" s="315">
        <v>0</v>
      </c>
      <c r="K464" s="315">
        <v>0</v>
      </c>
      <c r="L464" s="315">
        <v>0</v>
      </c>
      <c r="M464" s="315">
        <v>0</v>
      </c>
      <c r="N464" s="232">
        <v>0</v>
      </c>
      <c r="O464" s="232"/>
      <c r="P464" s="233"/>
    </row>
    <row r="465" spans="1:16">
      <c r="A465" s="224"/>
      <c r="B465" s="231"/>
      <c r="C465" s="171" t="s">
        <v>92</v>
      </c>
      <c r="D465" s="315">
        <v>0</v>
      </c>
      <c r="E465" s="315">
        <v>0</v>
      </c>
      <c r="F465" s="315">
        <v>0</v>
      </c>
      <c r="G465" s="315">
        <v>0</v>
      </c>
      <c r="H465" s="315">
        <v>0</v>
      </c>
      <c r="I465" s="315">
        <v>0</v>
      </c>
      <c r="J465" s="315">
        <v>0</v>
      </c>
      <c r="K465" s="315">
        <v>0</v>
      </c>
      <c r="L465" s="315">
        <v>0</v>
      </c>
      <c r="M465" s="315">
        <v>0</v>
      </c>
      <c r="N465" s="232">
        <v>0</v>
      </c>
      <c r="O465" s="232"/>
      <c r="P465" s="233"/>
    </row>
    <row r="466" spans="1:16">
      <c r="A466" s="224"/>
      <c r="B466" s="231"/>
      <c r="C466" s="171" t="s">
        <v>95</v>
      </c>
      <c r="D466" s="315">
        <v>0</v>
      </c>
      <c r="E466" s="315">
        <v>0</v>
      </c>
      <c r="F466" s="315">
        <v>0</v>
      </c>
      <c r="G466" s="315">
        <v>0</v>
      </c>
      <c r="H466" s="315">
        <v>0</v>
      </c>
      <c r="I466" s="315">
        <v>0</v>
      </c>
      <c r="J466" s="315">
        <v>0</v>
      </c>
      <c r="K466" s="315">
        <v>0</v>
      </c>
      <c r="L466" s="315">
        <v>0</v>
      </c>
      <c r="M466" s="315">
        <v>0</v>
      </c>
      <c r="N466" s="232">
        <v>0</v>
      </c>
      <c r="O466" s="232"/>
      <c r="P466" s="233"/>
    </row>
    <row r="467" spans="1:16">
      <c r="A467" s="224"/>
      <c r="B467" s="231"/>
      <c r="C467" s="171" t="s">
        <v>96</v>
      </c>
      <c r="D467" s="315">
        <v>0</v>
      </c>
      <c r="E467" s="315">
        <v>0</v>
      </c>
      <c r="F467" s="315">
        <v>0</v>
      </c>
      <c r="G467" s="315">
        <v>0</v>
      </c>
      <c r="H467" s="315">
        <v>0</v>
      </c>
      <c r="I467" s="315">
        <v>0</v>
      </c>
      <c r="J467" s="315">
        <v>0</v>
      </c>
      <c r="K467" s="315">
        <v>0</v>
      </c>
      <c r="L467" s="315">
        <v>0</v>
      </c>
      <c r="M467" s="315">
        <v>0</v>
      </c>
      <c r="N467" s="232">
        <v>0</v>
      </c>
      <c r="O467" s="232"/>
      <c r="P467" s="233"/>
    </row>
    <row r="468" spans="1:16">
      <c r="A468" s="224"/>
      <c r="B468" s="231"/>
      <c r="C468" s="171" t="s">
        <v>93</v>
      </c>
      <c r="D468" s="315">
        <v>0</v>
      </c>
      <c r="E468" s="315">
        <v>0</v>
      </c>
      <c r="F468" s="315">
        <v>0</v>
      </c>
      <c r="G468" s="315">
        <v>0</v>
      </c>
      <c r="H468" s="315">
        <v>0</v>
      </c>
      <c r="I468" s="315">
        <v>0</v>
      </c>
      <c r="J468" s="315">
        <v>0</v>
      </c>
      <c r="K468" s="315">
        <v>0</v>
      </c>
      <c r="L468" s="315">
        <v>0</v>
      </c>
      <c r="M468" s="315">
        <v>0</v>
      </c>
      <c r="N468" s="232">
        <v>0</v>
      </c>
      <c r="O468" s="232"/>
      <c r="P468" s="233"/>
    </row>
    <row r="469" spans="1:16">
      <c r="A469" s="224"/>
      <c r="B469" s="231"/>
      <c r="C469" s="171" t="s">
        <v>97</v>
      </c>
      <c r="D469" s="315">
        <v>0</v>
      </c>
      <c r="E469" s="315">
        <v>0</v>
      </c>
      <c r="F469" s="315">
        <v>0</v>
      </c>
      <c r="G469" s="315">
        <v>0</v>
      </c>
      <c r="H469" s="315">
        <v>0</v>
      </c>
      <c r="I469" s="315">
        <v>0</v>
      </c>
      <c r="J469" s="315">
        <v>0</v>
      </c>
      <c r="K469" s="315">
        <v>0</v>
      </c>
      <c r="L469" s="315">
        <v>0</v>
      </c>
      <c r="M469" s="315">
        <v>0</v>
      </c>
      <c r="N469" s="232">
        <v>0</v>
      </c>
      <c r="O469" s="232"/>
      <c r="P469" s="233"/>
    </row>
    <row r="470" spans="1:16">
      <c r="A470" s="224"/>
      <c r="B470" s="231"/>
      <c r="C470" s="172" t="s">
        <v>136</v>
      </c>
      <c r="D470" s="315">
        <v>0</v>
      </c>
      <c r="E470" s="315">
        <v>0</v>
      </c>
      <c r="F470" s="315">
        <v>0</v>
      </c>
      <c r="G470" s="315">
        <v>0</v>
      </c>
      <c r="H470" s="315">
        <v>0</v>
      </c>
      <c r="I470" s="315">
        <v>0</v>
      </c>
      <c r="J470" s="315">
        <v>0</v>
      </c>
      <c r="K470" s="315">
        <v>0</v>
      </c>
      <c r="L470" s="315">
        <v>0</v>
      </c>
      <c r="M470" s="315">
        <v>0</v>
      </c>
      <c r="N470" s="232">
        <v>0</v>
      </c>
      <c r="O470" s="232"/>
      <c r="P470" s="233"/>
    </row>
    <row r="471" spans="1:16">
      <c r="A471" s="224"/>
      <c r="B471" s="231" t="s">
        <v>167</v>
      </c>
      <c r="C471" s="171" t="s">
        <v>102</v>
      </c>
      <c r="D471" s="315">
        <v>0</v>
      </c>
      <c r="E471" s="315">
        <v>0</v>
      </c>
      <c r="F471" s="315">
        <v>0</v>
      </c>
      <c r="G471" s="315">
        <v>0</v>
      </c>
      <c r="H471" s="315">
        <v>0</v>
      </c>
      <c r="I471" s="315">
        <v>0</v>
      </c>
      <c r="J471" s="315">
        <v>0</v>
      </c>
      <c r="K471" s="315">
        <v>0</v>
      </c>
      <c r="L471" s="315">
        <v>0</v>
      </c>
      <c r="M471" s="315">
        <v>0</v>
      </c>
      <c r="N471" s="232">
        <v>0</v>
      </c>
      <c r="O471" s="232"/>
      <c r="P471" s="233"/>
    </row>
    <row r="472" spans="1:16">
      <c r="A472" s="224"/>
      <c r="B472" s="231"/>
      <c r="C472" s="171" t="s">
        <v>98</v>
      </c>
      <c r="D472" s="315">
        <v>0</v>
      </c>
      <c r="E472" s="315">
        <v>0</v>
      </c>
      <c r="F472" s="315">
        <v>0</v>
      </c>
      <c r="G472" s="315">
        <v>0</v>
      </c>
      <c r="H472" s="315">
        <v>0</v>
      </c>
      <c r="I472" s="315">
        <v>0</v>
      </c>
      <c r="J472" s="315">
        <v>0</v>
      </c>
      <c r="K472" s="315">
        <v>0</v>
      </c>
      <c r="L472" s="315">
        <v>0</v>
      </c>
      <c r="M472" s="315">
        <v>0</v>
      </c>
      <c r="N472" s="232">
        <v>0</v>
      </c>
      <c r="O472" s="232"/>
      <c r="P472" s="233"/>
    </row>
    <row r="473" spans="1:16">
      <c r="A473" s="224"/>
      <c r="B473" s="231"/>
      <c r="C473" s="171" t="s">
        <v>99</v>
      </c>
      <c r="D473" s="315">
        <v>0</v>
      </c>
      <c r="E473" s="315">
        <v>0</v>
      </c>
      <c r="F473" s="315">
        <v>0</v>
      </c>
      <c r="G473" s="315">
        <v>0</v>
      </c>
      <c r="H473" s="315">
        <v>0</v>
      </c>
      <c r="I473" s="315">
        <v>0</v>
      </c>
      <c r="J473" s="315">
        <v>0</v>
      </c>
      <c r="K473" s="315">
        <v>0</v>
      </c>
      <c r="L473" s="315">
        <v>0</v>
      </c>
      <c r="M473" s="315">
        <v>0</v>
      </c>
      <c r="N473" s="232">
        <v>0</v>
      </c>
      <c r="O473" s="232"/>
      <c r="P473" s="233"/>
    </row>
    <row r="474" spans="1:16">
      <c r="A474" s="224"/>
      <c r="B474" s="231"/>
      <c r="C474" s="171" t="s">
        <v>83</v>
      </c>
      <c r="D474" s="315">
        <v>0</v>
      </c>
      <c r="E474" s="315">
        <v>0</v>
      </c>
      <c r="F474" s="315">
        <v>0</v>
      </c>
      <c r="G474" s="315">
        <v>0</v>
      </c>
      <c r="H474" s="315">
        <v>0</v>
      </c>
      <c r="I474" s="315">
        <v>0</v>
      </c>
      <c r="J474" s="315">
        <v>0</v>
      </c>
      <c r="K474" s="315">
        <v>0</v>
      </c>
      <c r="L474" s="315">
        <v>0</v>
      </c>
      <c r="M474" s="315">
        <v>0</v>
      </c>
      <c r="N474" s="232">
        <v>0</v>
      </c>
      <c r="O474" s="232"/>
      <c r="P474" s="233"/>
    </row>
    <row r="475" spans="1:16">
      <c r="A475" s="224"/>
      <c r="B475" s="231"/>
      <c r="C475" s="171" t="s">
        <v>84</v>
      </c>
      <c r="D475" s="315">
        <v>0</v>
      </c>
      <c r="E475" s="315">
        <v>0</v>
      </c>
      <c r="F475" s="315">
        <v>0</v>
      </c>
      <c r="G475" s="315">
        <v>0</v>
      </c>
      <c r="H475" s="315">
        <v>0</v>
      </c>
      <c r="I475" s="315">
        <v>0</v>
      </c>
      <c r="J475" s="315">
        <v>0</v>
      </c>
      <c r="K475" s="315">
        <v>0</v>
      </c>
      <c r="L475" s="315">
        <v>0</v>
      </c>
      <c r="M475" s="315">
        <v>0</v>
      </c>
      <c r="N475" s="232">
        <v>0</v>
      </c>
      <c r="O475" s="232"/>
      <c r="P475" s="233"/>
    </row>
    <row r="476" spans="1:16">
      <c r="A476" s="224"/>
      <c r="B476" s="231"/>
      <c r="C476" s="171" t="s">
        <v>85</v>
      </c>
      <c r="D476" s="315">
        <v>0</v>
      </c>
      <c r="E476" s="315">
        <v>0</v>
      </c>
      <c r="F476" s="315">
        <v>0</v>
      </c>
      <c r="G476" s="315">
        <v>0</v>
      </c>
      <c r="H476" s="315">
        <v>0</v>
      </c>
      <c r="I476" s="315">
        <v>0</v>
      </c>
      <c r="J476" s="315">
        <v>0</v>
      </c>
      <c r="K476" s="315">
        <v>0</v>
      </c>
      <c r="L476" s="315">
        <v>0</v>
      </c>
      <c r="M476" s="315">
        <v>0</v>
      </c>
      <c r="N476" s="232">
        <v>0</v>
      </c>
      <c r="O476" s="232"/>
      <c r="P476" s="233"/>
    </row>
    <row r="477" spans="1:16">
      <c r="A477" s="224"/>
      <c r="B477" s="231"/>
      <c r="C477" s="171" t="s">
        <v>86</v>
      </c>
      <c r="D477" s="315">
        <v>0</v>
      </c>
      <c r="E477" s="315">
        <v>0</v>
      </c>
      <c r="F477" s="315">
        <v>0</v>
      </c>
      <c r="G477" s="315">
        <v>0</v>
      </c>
      <c r="H477" s="315">
        <v>0</v>
      </c>
      <c r="I477" s="315">
        <v>0</v>
      </c>
      <c r="J477" s="315">
        <v>0</v>
      </c>
      <c r="K477" s="315">
        <v>0</v>
      </c>
      <c r="L477" s="315">
        <v>0</v>
      </c>
      <c r="M477" s="315">
        <v>0</v>
      </c>
      <c r="N477" s="232">
        <v>0</v>
      </c>
      <c r="O477" s="232"/>
      <c r="P477" s="233"/>
    </row>
    <row r="478" spans="1:16">
      <c r="A478" s="224"/>
      <c r="B478" s="231"/>
      <c r="C478" s="171" t="s">
        <v>87</v>
      </c>
      <c r="D478" s="315">
        <v>0</v>
      </c>
      <c r="E478" s="315">
        <v>0</v>
      </c>
      <c r="F478" s="315">
        <v>0</v>
      </c>
      <c r="G478" s="315">
        <v>0</v>
      </c>
      <c r="H478" s="315">
        <v>0</v>
      </c>
      <c r="I478" s="315">
        <v>0</v>
      </c>
      <c r="J478" s="315">
        <v>0</v>
      </c>
      <c r="K478" s="315">
        <v>0</v>
      </c>
      <c r="L478" s="315">
        <v>0</v>
      </c>
      <c r="M478" s="315">
        <v>0</v>
      </c>
      <c r="N478" s="232">
        <v>0</v>
      </c>
      <c r="O478" s="232"/>
      <c r="P478" s="233"/>
    </row>
    <row r="479" spans="1:16">
      <c r="A479" s="224"/>
      <c r="B479" s="231"/>
      <c r="C479" s="171" t="s">
        <v>88</v>
      </c>
      <c r="D479" s="315">
        <v>0</v>
      </c>
      <c r="E479" s="315">
        <v>0</v>
      </c>
      <c r="F479" s="315">
        <v>0</v>
      </c>
      <c r="G479" s="315">
        <v>0</v>
      </c>
      <c r="H479" s="315">
        <v>0</v>
      </c>
      <c r="I479" s="315">
        <v>0</v>
      </c>
      <c r="J479" s="315">
        <v>0</v>
      </c>
      <c r="K479" s="315">
        <v>0</v>
      </c>
      <c r="L479" s="315">
        <v>0</v>
      </c>
      <c r="M479" s="315">
        <v>0</v>
      </c>
      <c r="N479" s="232">
        <v>0</v>
      </c>
      <c r="O479" s="232"/>
      <c r="P479" s="233"/>
    </row>
    <row r="480" spans="1:16">
      <c r="A480" s="224"/>
      <c r="B480" s="231"/>
      <c r="C480" s="171" t="s">
        <v>89</v>
      </c>
      <c r="D480" s="315">
        <v>0</v>
      </c>
      <c r="E480" s="315">
        <v>0</v>
      </c>
      <c r="F480" s="315">
        <v>0</v>
      </c>
      <c r="G480" s="315">
        <v>0</v>
      </c>
      <c r="H480" s="315">
        <v>0</v>
      </c>
      <c r="I480" s="315">
        <v>0</v>
      </c>
      <c r="J480" s="315">
        <v>0</v>
      </c>
      <c r="K480" s="315">
        <v>0</v>
      </c>
      <c r="L480" s="315">
        <v>0</v>
      </c>
      <c r="M480" s="315">
        <v>0</v>
      </c>
      <c r="N480" s="232">
        <v>0</v>
      </c>
      <c r="O480" s="232"/>
      <c r="P480" s="233"/>
    </row>
    <row r="481" spans="1:16">
      <c r="A481" s="224"/>
      <c r="B481" s="231"/>
      <c r="C481" s="171" t="s">
        <v>90</v>
      </c>
      <c r="D481" s="315">
        <v>0</v>
      </c>
      <c r="E481" s="315">
        <v>0</v>
      </c>
      <c r="F481" s="315">
        <v>0</v>
      </c>
      <c r="G481" s="315">
        <v>0</v>
      </c>
      <c r="H481" s="315">
        <v>0</v>
      </c>
      <c r="I481" s="315">
        <v>0</v>
      </c>
      <c r="J481" s="315">
        <v>0</v>
      </c>
      <c r="K481" s="315">
        <v>0</v>
      </c>
      <c r="L481" s="315">
        <v>0</v>
      </c>
      <c r="M481" s="315">
        <v>0</v>
      </c>
      <c r="N481" s="232">
        <v>0</v>
      </c>
      <c r="O481" s="232"/>
      <c r="P481" s="233"/>
    </row>
    <row r="482" spans="1:16">
      <c r="A482" s="224"/>
      <c r="B482" s="231"/>
      <c r="C482" s="171" t="s">
        <v>91</v>
      </c>
      <c r="D482" s="315">
        <v>0</v>
      </c>
      <c r="E482" s="315">
        <v>0</v>
      </c>
      <c r="F482" s="315">
        <v>0</v>
      </c>
      <c r="G482" s="315">
        <v>0</v>
      </c>
      <c r="H482" s="315">
        <v>0</v>
      </c>
      <c r="I482" s="315">
        <v>0</v>
      </c>
      <c r="J482" s="315">
        <v>0</v>
      </c>
      <c r="K482" s="315">
        <v>0</v>
      </c>
      <c r="L482" s="315">
        <v>0</v>
      </c>
      <c r="M482" s="315">
        <v>0</v>
      </c>
      <c r="N482" s="232">
        <v>0</v>
      </c>
      <c r="O482" s="232"/>
      <c r="P482" s="233"/>
    </row>
    <row r="483" spans="1:16">
      <c r="A483" s="224"/>
      <c r="B483" s="231"/>
      <c r="C483" s="171" t="s">
        <v>92</v>
      </c>
      <c r="D483" s="315">
        <v>0</v>
      </c>
      <c r="E483" s="315">
        <v>0</v>
      </c>
      <c r="F483" s="315">
        <v>0</v>
      </c>
      <c r="G483" s="315">
        <v>0</v>
      </c>
      <c r="H483" s="315">
        <v>0</v>
      </c>
      <c r="I483" s="315">
        <v>0</v>
      </c>
      <c r="J483" s="315">
        <v>0</v>
      </c>
      <c r="K483" s="315">
        <v>0</v>
      </c>
      <c r="L483" s="315">
        <v>0</v>
      </c>
      <c r="M483" s="315">
        <v>0</v>
      </c>
      <c r="N483" s="232">
        <v>0</v>
      </c>
      <c r="O483" s="232"/>
      <c r="P483" s="233"/>
    </row>
    <row r="484" spans="1:16">
      <c r="A484" s="224"/>
      <c r="B484" s="231"/>
      <c r="C484" s="171" t="s">
        <v>95</v>
      </c>
      <c r="D484" s="315">
        <v>0</v>
      </c>
      <c r="E484" s="315">
        <v>0</v>
      </c>
      <c r="F484" s="315">
        <v>0</v>
      </c>
      <c r="G484" s="315">
        <v>0</v>
      </c>
      <c r="H484" s="315">
        <v>0</v>
      </c>
      <c r="I484" s="315">
        <v>0</v>
      </c>
      <c r="J484" s="315">
        <v>0</v>
      </c>
      <c r="K484" s="315">
        <v>0</v>
      </c>
      <c r="L484" s="315">
        <v>0</v>
      </c>
      <c r="M484" s="315">
        <v>0</v>
      </c>
      <c r="N484" s="232">
        <v>0</v>
      </c>
      <c r="O484" s="232"/>
      <c r="P484" s="233"/>
    </row>
    <row r="485" spans="1:16">
      <c r="A485" s="224"/>
      <c r="B485" s="231"/>
      <c r="C485" s="171" t="s">
        <v>96</v>
      </c>
      <c r="D485" s="315">
        <v>0</v>
      </c>
      <c r="E485" s="315">
        <v>0</v>
      </c>
      <c r="F485" s="315">
        <v>0</v>
      </c>
      <c r="G485" s="315">
        <v>0</v>
      </c>
      <c r="H485" s="315">
        <v>0</v>
      </c>
      <c r="I485" s="315">
        <v>0</v>
      </c>
      <c r="J485" s="315">
        <v>0</v>
      </c>
      <c r="K485" s="315">
        <v>0</v>
      </c>
      <c r="L485" s="315">
        <v>0</v>
      </c>
      <c r="M485" s="315">
        <v>0</v>
      </c>
      <c r="N485" s="232">
        <v>0</v>
      </c>
      <c r="O485" s="232"/>
      <c r="P485" s="233"/>
    </row>
    <row r="486" spans="1:16">
      <c r="A486" s="224"/>
      <c r="B486" s="231"/>
      <c r="C486" s="171" t="s">
        <v>93</v>
      </c>
      <c r="D486" s="315">
        <v>0</v>
      </c>
      <c r="E486" s="315">
        <v>0</v>
      </c>
      <c r="F486" s="315">
        <v>0</v>
      </c>
      <c r="G486" s="315">
        <v>0</v>
      </c>
      <c r="H486" s="315">
        <v>0</v>
      </c>
      <c r="I486" s="315">
        <v>0</v>
      </c>
      <c r="J486" s="315">
        <v>0</v>
      </c>
      <c r="K486" s="315">
        <v>0</v>
      </c>
      <c r="L486" s="315">
        <v>0</v>
      </c>
      <c r="M486" s="315">
        <v>0</v>
      </c>
      <c r="N486" s="232">
        <v>0</v>
      </c>
      <c r="O486" s="232"/>
      <c r="P486" s="233"/>
    </row>
    <row r="487" spans="1:16">
      <c r="A487" s="224"/>
      <c r="B487" s="231"/>
      <c r="C487" s="171" t="s">
        <v>97</v>
      </c>
      <c r="D487" s="315">
        <v>0</v>
      </c>
      <c r="E487" s="315">
        <v>0</v>
      </c>
      <c r="F487" s="315">
        <v>0</v>
      </c>
      <c r="G487" s="315">
        <v>0</v>
      </c>
      <c r="H487" s="315">
        <v>0</v>
      </c>
      <c r="I487" s="315">
        <v>0</v>
      </c>
      <c r="J487" s="315">
        <v>0</v>
      </c>
      <c r="K487" s="315">
        <v>0</v>
      </c>
      <c r="L487" s="315">
        <v>0</v>
      </c>
      <c r="M487" s="315">
        <v>0</v>
      </c>
      <c r="N487" s="232">
        <v>0</v>
      </c>
      <c r="O487" s="232"/>
      <c r="P487" s="233"/>
    </row>
    <row r="488" spans="1:16">
      <c r="A488" s="224"/>
      <c r="B488" s="231"/>
      <c r="C488" s="172" t="s">
        <v>136</v>
      </c>
      <c r="D488" s="315">
        <v>0</v>
      </c>
      <c r="E488" s="315">
        <v>0</v>
      </c>
      <c r="F488" s="315">
        <v>0</v>
      </c>
      <c r="G488" s="315">
        <v>0</v>
      </c>
      <c r="H488" s="315">
        <v>0</v>
      </c>
      <c r="I488" s="315">
        <v>0</v>
      </c>
      <c r="J488" s="315">
        <v>0</v>
      </c>
      <c r="K488" s="315">
        <v>0</v>
      </c>
      <c r="L488" s="315">
        <v>0</v>
      </c>
      <c r="M488" s="315">
        <v>0</v>
      </c>
      <c r="N488" s="232">
        <v>0</v>
      </c>
      <c r="O488" s="232"/>
      <c r="P488" s="233"/>
    </row>
    <row r="489" spans="1:16">
      <c r="A489" s="224"/>
      <c r="B489" s="231" t="s">
        <v>168</v>
      </c>
      <c r="C489" s="171" t="s">
        <v>102</v>
      </c>
      <c r="D489" s="315">
        <v>0</v>
      </c>
      <c r="E489" s="315">
        <v>0</v>
      </c>
      <c r="F489" s="315">
        <v>0</v>
      </c>
      <c r="G489" s="315">
        <v>0</v>
      </c>
      <c r="H489" s="315">
        <v>0</v>
      </c>
      <c r="I489" s="315">
        <v>0</v>
      </c>
      <c r="J489" s="315">
        <v>0</v>
      </c>
      <c r="K489" s="315">
        <v>0</v>
      </c>
      <c r="L489" s="315">
        <v>0</v>
      </c>
      <c r="M489" s="315">
        <v>0</v>
      </c>
      <c r="N489" s="232">
        <v>0</v>
      </c>
      <c r="O489" s="232"/>
      <c r="P489" s="233"/>
    </row>
    <row r="490" spans="1:16">
      <c r="A490" s="224"/>
      <c r="B490" s="231"/>
      <c r="C490" s="171" t="s">
        <v>98</v>
      </c>
      <c r="D490" s="315">
        <v>0</v>
      </c>
      <c r="E490" s="315">
        <v>0</v>
      </c>
      <c r="F490" s="315">
        <v>0</v>
      </c>
      <c r="G490" s="315">
        <v>0</v>
      </c>
      <c r="H490" s="315">
        <v>0</v>
      </c>
      <c r="I490" s="315">
        <v>0</v>
      </c>
      <c r="J490" s="315">
        <v>0</v>
      </c>
      <c r="K490" s="315">
        <v>0</v>
      </c>
      <c r="L490" s="315">
        <v>0</v>
      </c>
      <c r="M490" s="315">
        <v>0</v>
      </c>
      <c r="N490" s="232">
        <v>0</v>
      </c>
      <c r="O490" s="232"/>
      <c r="P490" s="233"/>
    </row>
    <row r="491" spans="1:16">
      <c r="A491" s="224"/>
      <c r="B491" s="231"/>
      <c r="C491" s="171" t="s">
        <v>99</v>
      </c>
      <c r="D491" s="315">
        <v>0</v>
      </c>
      <c r="E491" s="315">
        <v>0</v>
      </c>
      <c r="F491" s="315">
        <v>0</v>
      </c>
      <c r="G491" s="315">
        <v>0</v>
      </c>
      <c r="H491" s="315">
        <v>0</v>
      </c>
      <c r="I491" s="315">
        <v>0</v>
      </c>
      <c r="J491" s="315">
        <v>0</v>
      </c>
      <c r="K491" s="315">
        <v>0</v>
      </c>
      <c r="L491" s="315">
        <v>0</v>
      </c>
      <c r="M491" s="315">
        <v>0</v>
      </c>
      <c r="N491" s="232">
        <v>0</v>
      </c>
      <c r="O491" s="232"/>
      <c r="P491" s="233"/>
    </row>
    <row r="492" spans="1:16">
      <c r="A492" s="224"/>
      <c r="B492" s="231"/>
      <c r="C492" s="171" t="s">
        <v>83</v>
      </c>
      <c r="D492" s="315">
        <v>0</v>
      </c>
      <c r="E492" s="315">
        <v>0</v>
      </c>
      <c r="F492" s="315">
        <v>0</v>
      </c>
      <c r="G492" s="315">
        <v>0</v>
      </c>
      <c r="H492" s="315">
        <v>0</v>
      </c>
      <c r="I492" s="315">
        <v>0</v>
      </c>
      <c r="J492" s="315">
        <v>0</v>
      </c>
      <c r="K492" s="315">
        <v>0</v>
      </c>
      <c r="L492" s="315">
        <v>0</v>
      </c>
      <c r="M492" s="315">
        <v>0</v>
      </c>
      <c r="N492" s="232">
        <v>0</v>
      </c>
      <c r="O492" s="232"/>
      <c r="P492" s="233"/>
    </row>
    <row r="493" spans="1:16">
      <c r="A493" s="224"/>
      <c r="B493" s="231"/>
      <c r="C493" s="171" t="s">
        <v>84</v>
      </c>
      <c r="D493" s="315">
        <v>0</v>
      </c>
      <c r="E493" s="315">
        <v>0</v>
      </c>
      <c r="F493" s="315">
        <v>0</v>
      </c>
      <c r="G493" s="315">
        <v>0</v>
      </c>
      <c r="H493" s="315">
        <v>0</v>
      </c>
      <c r="I493" s="315">
        <v>0</v>
      </c>
      <c r="J493" s="315">
        <v>0</v>
      </c>
      <c r="K493" s="315">
        <v>0</v>
      </c>
      <c r="L493" s="315">
        <v>0</v>
      </c>
      <c r="M493" s="315">
        <v>0</v>
      </c>
      <c r="N493" s="232">
        <v>0</v>
      </c>
      <c r="O493" s="232"/>
      <c r="P493" s="233"/>
    </row>
    <row r="494" spans="1:16">
      <c r="A494" s="224"/>
      <c r="B494" s="231"/>
      <c r="C494" s="171" t="s">
        <v>85</v>
      </c>
      <c r="D494" s="315">
        <v>0</v>
      </c>
      <c r="E494" s="315">
        <v>0</v>
      </c>
      <c r="F494" s="315">
        <v>0</v>
      </c>
      <c r="G494" s="315">
        <v>0</v>
      </c>
      <c r="H494" s="315">
        <v>0</v>
      </c>
      <c r="I494" s="315">
        <v>0</v>
      </c>
      <c r="J494" s="315">
        <v>0</v>
      </c>
      <c r="K494" s="315">
        <v>0</v>
      </c>
      <c r="L494" s="315">
        <v>0</v>
      </c>
      <c r="M494" s="315">
        <v>0</v>
      </c>
      <c r="N494" s="232">
        <v>0</v>
      </c>
      <c r="O494" s="232"/>
      <c r="P494" s="233"/>
    </row>
    <row r="495" spans="1:16">
      <c r="A495" s="224"/>
      <c r="B495" s="231"/>
      <c r="C495" s="171" t="s">
        <v>86</v>
      </c>
      <c r="D495" s="315">
        <v>0</v>
      </c>
      <c r="E495" s="315">
        <v>0</v>
      </c>
      <c r="F495" s="315">
        <v>0</v>
      </c>
      <c r="G495" s="315">
        <v>0</v>
      </c>
      <c r="H495" s="315">
        <v>0</v>
      </c>
      <c r="I495" s="315">
        <v>0</v>
      </c>
      <c r="J495" s="315">
        <v>0</v>
      </c>
      <c r="K495" s="315">
        <v>0</v>
      </c>
      <c r="L495" s="315">
        <v>0</v>
      </c>
      <c r="M495" s="315">
        <v>0</v>
      </c>
      <c r="N495" s="232">
        <v>0</v>
      </c>
      <c r="O495" s="232"/>
      <c r="P495" s="233"/>
    </row>
    <row r="496" spans="1:16">
      <c r="A496" s="224"/>
      <c r="B496" s="231"/>
      <c r="C496" s="171" t="s">
        <v>87</v>
      </c>
      <c r="D496" s="315">
        <v>0</v>
      </c>
      <c r="E496" s="315">
        <v>0</v>
      </c>
      <c r="F496" s="315">
        <v>0</v>
      </c>
      <c r="G496" s="315">
        <v>0</v>
      </c>
      <c r="H496" s="315">
        <v>0</v>
      </c>
      <c r="I496" s="315">
        <v>0</v>
      </c>
      <c r="J496" s="315">
        <v>0</v>
      </c>
      <c r="K496" s="315">
        <v>0</v>
      </c>
      <c r="L496" s="315">
        <v>0</v>
      </c>
      <c r="M496" s="315">
        <v>0</v>
      </c>
      <c r="N496" s="232">
        <v>0</v>
      </c>
      <c r="O496" s="232"/>
      <c r="P496" s="233"/>
    </row>
    <row r="497" spans="1:16">
      <c r="A497" s="224"/>
      <c r="B497" s="231"/>
      <c r="C497" s="171" t="s">
        <v>88</v>
      </c>
      <c r="D497" s="315">
        <v>0</v>
      </c>
      <c r="E497" s="315">
        <v>0</v>
      </c>
      <c r="F497" s="315">
        <v>0</v>
      </c>
      <c r="G497" s="315">
        <v>0</v>
      </c>
      <c r="H497" s="315">
        <v>0</v>
      </c>
      <c r="I497" s="315">
        <v>0</v>
      </c>
      <c r="J497" s="315">
        <v>0</v>
      </c>
      <c r="K497" s="315">
        <v>0</v>
      </c>
      <c r="L497" s="315">
        <v>0</v>
      </c>
      <c r="M497" s="315">
        <v>0</v>
      </c>
      <c r="N497" s="232">
        <v>0</v>
      </c>
      <c r="O497" s="232"/>
      <c r="P497" s="233"/>
    </row>
    <row r="498" spans="1:16">
      <c r="A498" s="224"/>
      <c r="B498" s="231"/>
      <c r="C498" s="171" t="s">
        <v>89</v>
      </c>
      <c r="D498" s="315">
        <v>0</v>
      </c>
      <c r="E498" s="315">
        <v>0</v>
      </c>
      <c r="F498" s="315">
        <v>0</v>
      </c>
      <c r="G498" s="315">
        <v>0</v>
      </c>
      <c r="H498" s="315">
        <v>0</v>
      </c>
      <c r="I498" s="315">
        <v>0</v>
      </c>
      <c r="J498" s="315">
        <v>0</v>
      </c>
      <c r="K498" s="315">
        <v>0</v>
      </c>
      <c r="L498" s="315">
        <v>0</v>
      </c>
      <c r="M498" s="315">
        <v>0</v>
      </c>
      <c r="N498" s="232">
        <v>0</v>
      </c>
      <c r="O498" s="232"/>
      <c r="P498" s="233"/>
    </row>
    <row r="499" spans="1:16">
      <c r="A499" s="224"/>
      <c r="B499" s="231"/>
      <c r="C499" s="171" t="s">
        <v>90</v>
      </c>
      <c r="D499" s="315">
        <v>0</v>
      </c>
      <c r="E499" s="315">
        <v>0</v>
      </c>
      <c r="F499" s="315">
        <v>0</v>
      </c>
      <c r="G499" s="315">
        <v>0</v>
      </c>
      <c r="H499" s="315">
        <v>0</v>
      </c>
      <c r="I499" s="315">
        <v>0</v>
      </c>
      <c r="J499" s="315">
        <v>0</v>
      </c>
      <c r="K499" s="315">
        <v>0</v>
      </c>
      <c r="L499" s="315">
        <v>0</v>
      </c>
      <c r="M499" s="315">
        <v>0</v>
      </c>
      <c r="N499" s="232">
        <v>0</v>
      </c>
      <c r="O499" s="232"/>
      <c r="P499" s="233"/>
    </row>
    <row r="500" spans="1:16">
      <c r="A500" s="224"/>
      <c r="B500" s="231"/>
      <c r="C500" s="171" t="s">
        <v>91</v>
      </c>
      <c r="D500" s="315">
        <v>0</v>
      </c>
      <c r="E500" s="315">
        <v>0</v>
      </c>
      <c r="F500" s="315">
        <v>0</v>
      </c>
      <c r="G500" s="315">
        <v>0</v>
      </c>
      <c r="H500" s="315">
        <v>0</v>
      </c>
      <c r="I500" s="315">
        <v>0</v>
      </c>
      <c r="J500" s="315">
        <v>0</v>
      </c>
      <c r="K500" s="315">
        <v>0</v>
      </c>
      <c r="L500" s="315">
        <v>0</v>
      </c>
      <c r="M500" s="315">
        <v>0</v>
      </c>
      <c r="N500" s="232">
        <v>0</v>
      </c>
      <c r="O500" s="232"/>
      <c r="P500" s="233"/>
    </row>
    <row r="501" spans="1:16">
      <c r="A501" s="224"/>
      <c r="B501" s="231"/>
      <c r="C501" s="171" t="s">
        <v>92</v>
      </c>
      <c r="D501" s="315">
        <v>0</v>
      </c>
      <c r="E501" s="315">
        <v>0</v>
      </c>
      <c r="F501" s="315">
        <v>0</v>
      </c>
      <c r="G501" s="315">
        <v>0</v>
      </c>
      <c r="H501" s="315">
        <v>0</v>
      </c>
      <c r="I501" s="315">
        <v>0</v>
      </c>
      <c r="J501" s="315">
        <v>0</v>
      </c>
      <c r="K501" s="315">
        <v>0</v>
      </c>
      <c r="L501" s="315">
        <v>0</v>
      </c>
      <c r="M501" s="315">
        <v>0</v>
      </c>
      <c r="N501" s="232">
        <v>0</v>
      </c>
      <c r="O501" s="232"/>
      <c r="P501" s="233"/>
    </row>
    <row r="502" spans="1:16">
      <c r="A502" s="224"/>
      <c r="B502" s="231"/>
      <c r="C502" s="171" t="s">
        <v>95</v>
      </c>
      <c r="D502" s="315">
        <v>0</v>
      </c>
      <c r="E502" s="315">
        <v>0</v>
      </c>
      <c r="F502" s="315">
        <v>0</v>
      </c>
      <c r="G502" s="315">
        <v>0</v>
      </c>
      <c r="H502" s="315">
        <v>0</v>
      </c>
      <c r="I502" s="315">
        <v>0</v>
      </c>
      <c r="J502" s="315">
        <v>0</v>
      </c>
      <c r="K502" s="315">
        <v>0</v>
      </c>
      <c r="L502" s="315">
        <v>0</v>
      </c>
      <c r="M502" s="315">
        <v>0</v>
      </c>
      <c r="N502" s="232">
        <v>0</v>
      </c>
      <c r="O502" s="232"/>
      <c r="P502" s="233"/>
    </row>
    <row r="503" spans="1:16">
      <c r="A503" s="224"/>
      <c r="B503" s="231"/>
      <c r="C503" s="171" t="s">
        <v>96</v>
      </c>
      <c r="D503" s="315">
        <v>0</v>
      </c>
      <c r="E503" s="315">
        <v>0</v>
      </c>
      <c r="F503" s="315">
        <v>0</v>
      </c>
      <c r="G503" s="315">
        <v>0</v>
      </c>
      <c r="H503" s="315">
        <v>0</v>
      </c>
      <c r="I503" s="315">
        <v>0</v>
      </c>
      <c r="J503" s="315">
        <v>0</v>
      </c>
      <c r="K503" s="315">
        <v>0</v>
      </c>
      <c r="L503" s="315">
        <v>0</v>
      </c>
      <c r="M503" s="315">
        <v>0</v>
      </c>
      <c r="N503" s="232">
        <v>0</v>
      </c>
      <c r="O503" s="232"/>
      <c r="P503" s="233"/>
    </row>
    <row r="504" spans="1:16">
      <c r="A504" s="224"/>
      <c r="B504" s="231"/>
      <c r="C504" s="171" t="s">
        <v>93</v>
      </c>
      <c r="D504" s="315">
        <v>0</v>
      </c>
      <c r="E504" s="315">
        <v>0</v>
      </c>
      <c r="F504" s="315">
        <v>0</v>
      </c>
      <c r="G504" s="315">
        <v>0</v>
      </c>
      <c r="H504" s="315">
        <v>0</v>
      </c>
      <c r="I504" s="315">
        <v>0</v>
      </c>
      <c r="J504" s="315">
        <v>0</v>
      </c>
      <c r="K504" s="315">
        <v>0</v>
      </c>
      <c r="L504" s="315">
        <v>0</v>
      </c>
      <c r="M504" s="315">
        <v>0</v>
      </c>
      <c r="N504" s="232">
        <v>0</v>
      </c>
      <c r="O504" s="232"/>
      <c r="P504" s="233"/>
    </row>
    <row r="505" spans="1:16">
      <c r="A505" s="224"/>
      <c r="B505" s="231"/>
      <c r="C505" s="171" t="s">
        <v>97</v>
      </c>
      <c r="D505" s="315">
        <v>0</v>
      </c>
      <c r="E505" s="315">
        <v>0</v>
      </c>
      <c r="F505" s="315">
        <v>0</v>
      </c>
      <c r="G505" s="315">
        <v>0</v>
      </c>
      <c r="H505" s="315">
        <v>0</v>
      </c>
      <c r="I505" s="315">
        <v>0</v>
      </c>
      <c r="J505" s="315">
        <v>0</v>
      </c>
      <c r="K505" s="315">
        <v>0</v>
      </c>
      <c r="L505" s="315">
        <v>0</v>
      </c>
      <c r="M505" s="315">
        <v>0</v>
      </c>
      <c r="N505" s="232">
        <v>0</v>
      </c>
      <c r="O505" s="232"/>
      <c r="P505" s="233"/>
    </row>
    <row r="506" spans="1:16">
      <c r="A506" s="224"/>
      <c r="B506" s="231"/>
      <c r="C506" s="172" t="s">
        <v>136</v>
      </c>
      <c r="D506" s="315">
        <v>0</v>
      </c>
      <c r="E506" s="315">
        <v>0</v>
      </c>
      <c r="F506" s="315">
        <v>0</v>
      </c>
      <c r="G506" s="315">
        <v>0</v>
      </c>
      <c r="H506" s="315">
        <v>0</v>
      </c>
      <c r="I506" s="315">
        <v>0</v>
      </c>
      <c r="J506" s="315">
        <v>0</v>
      </c>
      <c r="K506" s="315">
        <v>0</v>
      </c>
      <c r="L506" s="315">
        <v>0</v>
      </c>
      <c r="M506" s="315">
        <v>0</v>
      </c>
      <c r="N506" s="232">
        <v>0</v>
      </c>
      <c r="O506" s="232"/>
      <c r="P506" s="233"/>
    </row>
    <row r="507" spans="1:16">
      <c r="A507" s="224"/>
      <c r="B507" s="231" t="s">
        <v>169</v>
      </c>
      <c r="C507" s="171" t="s">
        <v>102</v>
      </c>
      <c r="D507" s="315">
        <v>0</v>
      </c>
      <c r="E507" s="315">
        <v>0</v>
      </c>
      <c r="F507" s="315">
        <v>0</v>
      </c>
      <c r="G507" s="315">
        <v>0</v>
      </c>
      <c r="H507" s="315">
        <v>0</v>
      </c>
      <c r="I507" s="315">
        <v>0</v>
      </c>
      <c r="J507" s="315">
        <v>0</v>
      </c>
      <c r="K507" s="315">
        <v>0</v>
      </c>
      <c r="L507" s="315">
        <v>0</v>
      </c>
      <c r="M507" s="315">
        <v>0</v>
      </c>
      <c r="N507" s="232">
        <v>0</v>
      </c>
      <c r="O507" s="232"/>
      <c r="P507" s="233"/>
    </row>
    <row r="508" spans="1:16">
      <c r="A508" s="224"/>
      <c r="B508" s="231"/>
      <c r="C508" s="171" t="s">
        <v>98</v>
      </c>
      <c r="D508" s="315">
        <v>0</v>
      </c>
      <c r="E508" s="315">
        <v>0</v>
      </c>
      <c r="F508" s="315">
        <v>0</v>
      </c>
      <c r="G508" s="315">
        <v>0</v>
      </c>
      <c r="H508" s="315">
        <v>0</v>
      </c>
      <c r="I508" s="315">
        <v>0</v>
      </c>
      <c r="J508" s="315">
        <v>0</v>
      </c>
      <c r="K508" s="315">
        <v>0</v>
      </c>
      <c r="L508" s="315">
        <v>0</v>
      </c>
      <c r="M508" s="315">
        <v>0</v>
      </c>
      <c r="N508" s="232">
        <v>0</v>
      </c>
      <c r="O508" s="232"/>
      <c r="P508" s="233"/>
    </row>
    <row r="509" spans="1:16">
      <c r="A509" s="224"/>
      <c r="B509" s="231"/>
      <c r="C509" s="171" t="s">
        <v>99</v>
      </c>
      <c r="D509" s="315">
        <v>0</v>
      </c>
      <c r="E509" s="315">
        <v>0</v>
      </c>
      <c r="F509" s="315">
        <v>0</v>
      </c>
      <c r="G509" s="315">
        <v>0</v>
      </c>
      <c r="H509" s="315">
        <v>0</v>
      </c>
      <c r="I509" s="315">
        <v>0</v>
      </c>
      <c r="J509" s="315">
        <v>0</v>
      </c>
      <c r="K509" s="315">
        <v>0</v>
      </c>
      <c r="L509" s="315">
        <v>0</v>
      </c>
      <c r="M509" s="315">
        <v>0</v>
      </c>
      <c r="N509" s="232">
        <v>0</v>
      </c>
      <c r="O509" s="232"/>
      <c r="P509" s="233"/>
    </row>
    <row r="510" spans="1:16">
      <c r="A510" s="224"/>
      <c r="B510" s="231"/>
      <c r="C510" s="171" t="s">
        <v>83</v>
      </c>
      <c r="D510" s="315">
        <v>0</v>
      </c>
      <c r="E510" s="315">
        <v>0</v>
      </c>
      <c r="F510" s="315">
        <v>0</v>
      </c>
      <c r="G510" s="315">
        <v>0</v>
      </c>
      <c r="H510" s="315">
        <v>0</v>
      </c>
      <c r="I510" s="315">
        <v>0</v>
      </c>
      <c r="J510" s="315">
        <v>0</v>
      </c>
      <c r="K510" s="315">
        <v>0</v>
      </c>
      <c r="L510" s="315">
        <v>0</v>
      </c>
      <c r="M510" s="315">
        <v>0</v>
      </c>
      <c r="N510" s="232">
        <v>0</v>
      </c>
      <c r="O510" s="232"/>
      <c r="P510" s="233"/>
    </row>
    <row r="511" spans="1:16">
      <c r="A511" s="224"/>
      <c r="B511" s="231"/>
      <c r="C511" s="171" t="s">
        <v>84</v>
      </c>
      <c r="D511" s="315">
        <v>0</v>
      </c>
      <c r="E511" s="315">
        <v>0</v>
      </c>
      <c r="F511" s="315">
        <v>0</v>
      </c>
      <c r="G511" s="315">
        <v>0</v>
      </c>
      <c r="H511" s="315">
        <v>0</v>
      </c>
      <c r="I511" s="315">
        <v>0</v>
      </c>
      <c r="J511" s="315">
        <v>0</v>
      </c>
      <c r="K511" s="315">
        <v>0</v>
      </c>
      <c r="L511" s="315">
        <v>0</v>
      </c>
      <c r="M511" s="315">
        <v>0</v>
      </c>
      <c r="N511" s="232">
        <v>0</v>
      </c>
      <c r="O511" s="232"/>
      <c r="P511" s="233"/>
    </row>
    <row r="512" spans="1:16">
      <c r="A512" s="224"/>
      <c r="B512" s="231"/>
      <c r="C512" s="171" t="s">
        <v>85</v>
      </c>
      <c r="D512" s="315">
        <v>0</v>
      </c>
      <c r="E512" s="315">
        <v>1</v>
      </c>
      <c r="F512" s="315">
        <v>0</v>
      </c>
      <c r="G512" s="315">
        <v>0</v>
      </c>
      <c r="H512" s="315">
        <v>0</v>
      </c>
      <c r="I512" s="315">
        <v>0</v>
      </c>
      <c r="J512" s="315">
        <v>0</v>
      </c>
      <c r="K512" s="315">
        <v>0</v>
      </c>
      <c r="L512" s="315">
        <v>0</v>
      </c>
      <c r="M512" s="315">
        <v>0</v>
      </c>
      <c r="N512" s="232">
        <v>0</v>
      </c>
      <c r="O512" s="232"/>
      <c r="P512" s="233"/>
    </row>
    <row r="513" spans="1:16">
      <c r="A513" s="224"/>
      <c r="B513" s="231"/>
      <c r="C513" s="171" t="s">
        <v>86</v>
      </c>
      <c r="D513" s="315">
        <v>0</v>
      </c>
      <c r="E513" s="315">
        <v>0</v>
      </c>
      <c r="F513" s="315">
        <v>0</v>
      </c>
      <c r="G513" s="315">
        <v>0</v>
      </c>
      <c r="H513" s="315">
        <v>0</v>
      </c>
      <c r="I513" s="315">
        <v>0</v>
      </c>
      <c r="J513" s="315">
        <v>0</v>
      </c>
      <c r="K513" s="315">
        <v>0</v>
      </c>
      <c r="L513" s="315">
        <v>0</v>
      </c>
      <c r="M513" s="315">
        <v>0</v>
      </c>
      <c r="N513" s="232">
        <v>0</v>
      </c>
      <c r="O513" s="232"/>
      <c r="P513" s="233"/>
    </row>
    <row r="514" spans="1:16">
      <c r="A514" s="224"/>
      <c r="B514" s="231"/>
      <c r="C514" s="171" t="s">
        <v>87</v>
      </c>
      <c r="D514" s="315">
        <v>0</v>
      </c>
      <c r="E514" s="315">
        <v>0</v>
      </c>
      <c r="F514" s="315">
        <v>0</v>
      </c>
      <c r="G514" s="315">
        <v>0</v>
      </c>
      <c r="H514" s="315">
        <v>0</v>
      </c>
      <c r="I514" s="315">
        <v>1</v>
      </c>
      <c r="J514" s="315">
        <v>0</v>
      </c>
      <c r="K514" s="315">
        <v>0</v>
      </c>
      <c r="L514" s="315">
        <v>0</v>
      </c>
      <c r="M514" s="315">
        <v>0</v>
      </c>
      <c r="N514" s="232">
        <v>0</v>
      </c>
      <c r="O514" s="232"/>
      <c r="P514" s="233"/>
    </row>
    <row r="515" spans="1:16">
      <c r="A515" s="224"/>
      <c r="B515" s="231"/>
      <c r="C515" s="171" t="s">
        <v>88</v>
      </c>
      <c r="D515" s="315">
        <v>0</v>
      </c>
      <c r="E515" s="315">
        <v>0</v>
      </c>
      <c r="F515" s="315">
        <v>0</v>
      </c>
      <c r="G515" s="315">
        <v>0</v>
      </c>
      <c r="H515" s="315">
        <v>0</v>
      </c>
      <c r="I515" s="315">
        <v>0</v>
      </c>
      <c r="J515" s="315">
        <v>0</v>
      </c>
      <c r="K515" s="315">
        <v>0</v>
      </c>
      <c r="L515" s="315">
        <v>0</v>
      </c>
      <c r="M515" s="315">
        <v>0</v>
      </c>
      <c r="N515" s="232">
        <v>0</v>
      </c>
      <c r="O515" s="232"/>
      <c r="P515" s="233"/>
    </row>
    <row r="516" spans="1:16">
      <c r="A516" s="224"/>
      <c r="B516" s="231"/>
      <c r="C516" s="171" t="s">
        <v>89</v>
      </c>
      <c r="D516" s="315">
        <v>0</v>
      </c>
      <c r="E516" s="315">
        <v>0</v>
      </c>
      <c r="F516" s="315">
        <v>1</v>
      </c>
      <c r="G516" s="315">
        <v>0</v>
      </c>
      <c r="H516" s="315">
        <v>0</v>
      </c>
      <c r="I516" s="315">
        <v>0</v>
      </c>
      <c r="J516" s="315">
        <v>0</v>
      </c>
      <c r="K516" s="315">
        <v>0</v>
      </c>
      <c r="L516" s="315">
        <v>0</v>
      </c>
      <c r="M516" s="315">
        <v>0</v>
      </c>
      <c r="N516" s="232">
        <v>0</v>
      </c>
      <c r="O516" s="232"/>
      <c r="P516" s="233"/>
    </row>
    <row r="517" spans="1:16">
      <c r="A517" s="224"/>
      <c r="B517" s="231"/>
      <c r="C517" s="171" t="s">
        <v>90</v>
      </c>
      <c r="D517" s="315">
        <v>0</v>
      </c>
      <c r="E517" s="315">
        <v>0</v>
      </c>
      <c r="F517" s="315">
        <v>0</v>
      </c>
      <c r="G517" s="315">
        <v>0</v>
      </c>
      <c r="H517" s="315">
        <v>0</v>
      </c>
      <c r="I517" s="315">
        <v>0</v>
      </c>
      <c r="J517" s="315">
        <v>0</v>
      </c>
      <c r="K517" s="315">
        <v>0</v>
      </c>
      <c r="L517" s="315">
        <v>0</v>
      </c>
      <c r="M517" s="315">
        <v>0</v>
      </c>
      <c r="N517" s="232">
        <v>0</v>
      </c>
      <c r="O517" s="232"/>
      <c r="P517" s="233"/>
    </row>
    <row r="518" spans="1:16">
      <c r="A518" s="224"/>
      <c r="B518" s="231"/>
      <c r="C518" s="171" t="s">
        <v>91</v>
      </c>
      <c r="D518" s="315">
        <v>0</v>
      </c>
      <c r="E518" s="315">
        <v>0</v>
      </c>
      <c r="F518" s="315">
        <v>0</v>
      </c>
      <c r="G518" s="315">
        <v>0</v>
      </c>
      <c r="H518" s="315">
        <v>0</v>
      </c>
      <c r="I518" s="315">
        <v>0</v>
      </c>
      <c r="J518" s="315">
        <v>0</v>
      </c>
      <c r="K518" s="315">
        <v>0</v>
      </c>
      <c r="L518" s="315">
        <v>0</v>
      </c>
      <c r="M518" s="315">
        <v>0</v>
      </c>
      <c r="N518" s="232">
        <v>0</v>
      </c>
      <c r="O518" s="232"/>
      <c r="P518" s="233"/>
    </row>
    <row r="519" spans="1:16">
      <c r="A519" s="224"/>
      <c r="B519" s="231"/>
      <c r="C519" s="171" t="s">
        <v>92</v>
      </c>
      <c r="D519" s="315">
        <v>0</v>
      </c>
      <c r="E519" s="315">
        <v>0</v>
      </c>
      <c r="F519" s="315">
        <v>0</v>
      </c>
      <c r="G519" s="315">
        <v>0</v>
      </c>
      <c r="H519" s="315">
        <v>0</v>
      </c>
      <c r="I519" s="315">
        <v>0</v>
      </c>
      <c r="J519" s="315">
        <v>0</v>
      </c>
      <c r="K519" s="315">
        <v>0</v>
      </c>
      <c r="L519" s="315">
        <v>0</v>
      </c>
      <c r="M519" s="315">
        <v>0</v>
      </c>
      <c r="N519" s="232">
        <v>0</v>
      </c>
      <c r="O519" s="232"/>
      <c r="P519" s="233"/>
    </row>
    <row r="520" spans="1:16">
      <c r="A520" s="224"/>
      <c r="B520" s="231"/>
      <c r="C520" s="171" t="s">
        <v>95</v>
      </c>
      <c r="D520" s="315">
        <v>0</v>
      </c>
      <c r="E520" s="315">
        <v>0</v>
      </c>
      <c r="F520" s="315">
        <v>0</v>
      </c>
      <c r="G520" s="315">
        <v>0</v>
      </c>
      <c r="H520" s="315">
        <v>0</v>
      </c>
      <c r="I520" s="315">
        <v>0</v>
      </c>
      <c r="J520" s="315">
        <v>0</v>
      </c>
      <c r="K520" s="315">
        <v>0</v>
      </c>
      <c r="L520" s="315">
        <v>0</v>
      </c>
      <c r="M520" s="315">
        <v>0</v>
      </c>
      <c r="N520" s="232">
        <v>0</v>
      </c>
      <c r="O520" s="232"/>
      <c r="P520" s="233"/>
    </row>
    <row r="521" spans="1:16">
      <c r="A521" s="224"/>
      <c r="B521" s="231"/>
      <c r="C521" s="171" t="s">
        <v>96</v>
      </c>
      <c r="D521" s="315">
        <v>0</v>
      </c>
      <c r="E521" s="315">
        <v>0</v>
      </c>
      <c r="F521" s="315">
        <v>0</v>
      </c>
      <c r="G521" s="315">
        <v>1</v>
      </c>
      <c r="H521" s="315">
        <v>0</v>
      </c>
      <c r="I521" s="315">
        <v>0</v>
      </c>
      <c r="J521" s="315">
        <v>0</v>
      </c>
      <c r="K521" s="315">
        <v>0</v>
      </c>
      <c r="L521" s="315">
        <v>0</v>
      </c>
      <c r="M521" s="315">
        <v>0</v>
      </c>
      <c r="N521" s="232">
        <v>0</v>
      </c>
      <c r="O521" s="232"/>
      <c r="P521" s="233"/>
    </row>
    <row r="522" spans="1:16">
      <c r="A522" s="224"/>
      <c r="B522" s="231"/>
      <c r="C522" s="171" t="s">
        <v>93</v>
      </c>
      <c r="D522" s="315">
        <v>0</v>
      </c>
      <c r="E522" s="315">
        <v>0</v>
      </c>
      <c r="F522" s="315">
        <v>0</v>
      </c>
      <c r="G522" s="315">
        <v>0</v>
      </c>
      <c r="H522" s="315">
        <v>0</v>
      </c>
      <c r="I522" s="315">
        <v>0</v>
      </c>
      <c r="J522" s="315">
        <v>0</v>
      </c>
      <c r="K522" s="315">
        <v>0</v>
      </c>
      <c r="L522" s="315">
        <v>0</v>
      </c>
      <c r="M522" s="315">
        <v>0</v>
      </c>
      <c r="N522" s="232">
        <v>0</v>
      </c>
      <c r="O522" s="232"/>
      <c r="P522" s="233"/>
    </row>
    <row r="523" spans="1:16">
      <c r="A523" s="224"/>
      <c r="B523" s="231"/>
      <c r="C523" s="171" t="s">
        <v>97</v>
      </c>
      <c r="D523" s="315">
        <v>0</v>
      </c>
      <c r="E523" s="315">
        <v>0</v>
      </c>
      <c r="F523" s="315">
        <v>0</v>
      </c>
      <c r="G523" s="315">
        <v>0</v>
      </c>
      <c r="H523" s="315">
        <v>0</v>
      </c>
      <c r="I523" s="315">
        <v>0</v>
      </c>
      <c r="J523" s="315">
        <v>0</v>
      </c>
      <c r="K523" s="315">
        <v>0</v>
      </c>
      <c r="L523" s="315">
        <v>0</v>
      </c>
      <c r="M523" s="315">
        <v>0</v>
      </c>
      <c r="N523" s="232">
        <v>0</v>
      </c>
      <c r="O523" s="232"/>
      <c r="P523" s="233"/>
    </row>
    <row r="524" spans="1:16">
      <c r="A524" s="224"/>
      <c r="B524" s="231"/>
      <c r="C524" s="172" t="s">
        <v>136</v>
      </c>
      <c r="D524" s="315">
        <v>0</v>
      </c>
      <c r="E524" s="315">
        <v>0</v>
      </c>
      <c r="F524" s="315">
        <v>0</v>
      </c>
      <c r="G524" s="315">
        <v>0</v>
      </c>
      <c r="H524" s="315">
        <v>0</v>
      </c>
      <c r="I524" s="315">
        <v>0</v>
      </c>
      <c r="J524" s="315">
        <v>0</v>
      </c>
      <c r="K524" s="315">
        <v>0</v>
      </c>
      <c r="L524" s="315">
        <v>0</v>
      </c>
      <c r="M524" s="315">
        <v>0</v>
      </c>
      <c r="N524" s="232">
        <v>0</v>
      </c>
      <c r="O524" s="232"/>
      <c r="P524" s="233"/>
    </row>
    <row r="525" spans="1:16">
      <c r="A525" s="224"/>
      <c r="B525" s="231" t="s">
        <v>170</v>
      </c>
      <c r="C525" s="171" t="s">
        <v>102</v>
      </c>
      <c r="D525" s="315">
        <v>0</v>
      </c>
      <c r="E525" s="315">
        <v>0</v>
      </c>
      <c r="F525" s="315">
        <v>0</v>
      </c>
      <c r="G525" s="315">
        <v>0</v>
      </c>
      <c r="H525" s="315">
        <v>0</v>
      </c>
      <c r="I525" s="315">
        <v>0</v>
      </c>
      <c r="J525" s="315">
        <v>0</v>
      </c>
      <c r="K525" s="315">
        <v>0</v>
      </c>
      <c r="L525" s="315">
        <v>0</v>
      </c>
      <c r="M525" s="315">
        <v>0</v>
      </c>
      <c r="N525" s="232">
        <v>0</v>
      </c>
      <c r="O525" s="232"/>
      <c r="P525" s="233"/>
    </row>
    <row r="526" spans="1:16">
      <c r="A526" s="224"/>
      <c r="B526" s="231"/>
      <c r="C526" s="171" t="s">
        <v>98</v>
      </c>
      <c r="D526" s="315">
        <v>0</v>
      </c>
      <c r="E526" s="315">
        <v>0</v>
      </c>
      <c r="F526" s="315">
        <v>0</v>
      </c>
      <c r="G526" s="315">
        <v>0</v>
      </c>
      <c r="H526" s="315">
        <v>0</v>
      </c>
      <c r="I526" s="315">
        <v>0</v>
      </c>
      <c r="J526" s="315">
        <v>0</v>
      </c>
      <c r="K526" s="315">
        <v>0</v>
      </c>
      <c r="L526" s="315">
        <v>0</v>
      </c>
      <c r="M526" s="315">
        <v>0</v>
      </c>
      <c r="N526" s="232">
        <v>0</v>
      </c>
      <c r="O526" s="232"/>
      <c r="P526" s="233"/>
    </row>
    <row r="527" spans="1:16">
      <c r="A527" s="224"/>
      <c r="B527" s="231"/>
      <c r="C527" s="171" t="s">
        <v>99</v>
      </c>
      <c r="D527" s="315">
        <v>0</v>
      </c>
      <c r="E527" s="315">
        <v>0</v>
      </c>
      <c r="F527" s="315">
        <v>0</v>
      </c>
      <c r="G527" s="315">
        <v>0</v>
      </c>
      <c r="H527" s="315">
        <v>0</v>
      </c>
      <c r="I527" s="315">
        <v>0</v>
      </c>
      <c r="J527" s="315">
        <v>0</v>
      </c>
      <c r="K527" s="315">
        <v>0</v>
      </c>
      <c r="L527" s="315">
        <v>0</v>
      </c>
      <c r="M527" s="315">
        <v>0</v>
      </c>
      <c r="N527" s="232">
        <v>0</v>
      </c>
      <c r="O527" s="232"/>
      <c r="P527" s="233"/>
    </row>
    <row r="528" spans="1:16">
      <c r="A528" s="224"/>
      <c r="B528" s="231"/>
      <c r="C528" s="171" t="s">
        <v>83</v>
      </c>
      <c r="D528" s="315">
        <v>0</v>
      </c>
      <c r="E528" s="315">
        <v>0</v>
      </c>
      <c r="F528" s="315">
        <v>0</v>
      </c>
      <c r="G528" s="315">
        <v>0</v>
      </c>
      <c r="H528" s="315">
        <v>0</v>
      </c>
      <c r="I528" s="315">
        <v>0</v>
      </c>
      <c r="J528" s="315">
        <v>0</v>
      </c>
      <c r="K528" s="315">
        <v>0</v>
      </c>
      <c r="L528" s="315">
        <v>0</v>
      </c>
      <c r="M528" s="315">
        <v>0</v>
      </c>
      <c r="N528" s="232">
        <v>0</v>
      </c>
      <c r="O528" s="232"/>
      <c r="P528" s="233"/>
    </row>
    <row r="529" spans="1:16">
      <c r="A529" s="224"/>
      <c r="B529" s="231"/>
      <c r="C529" s="171" t="s">
        <v>84</v>
      </c>
      <c r="D529" s="315">
        <v>0</v>
      </c>
      <c r="E529" s="315">
        <v>0</v>
      </c>
      <c r="F529" s="315">
        <v>0</v>
      </c>
      <c r="G529" s="315">
        <v>0</v>
      </c>
      <c r="H529" s="315">
        <v>0</v>
      </c>
      <c r="I529" s="315">
        <v>0</v>
      </c>
      <c r="J529" s="315">
        <v>0</v>
      </c>
      <c r="K529" s="315">
        <v>0</v>
      </c>
      <c r="L529" s="315">
        <v>0</v>
      </c>
      <c r="M529" s="315">
        <v>0</v>
      </c>
      <c r="N529" s="232">
        <v>0</v>
      </c>
      <c r="O529" s="232"/>
      <c r="P529" s="233"/>
    </row>
    <row r="530" spans="1:16">
      <c r="A530" s="224"/>
      <c r="B530" s="231"/>
      <c r="C530" s="171" t="s">
        <v>85</v>
      </c>
      <c r="D530" s="315">
        <v>0</v>
      </c>
      <c r="E530" s="315">
        <v>0</v>
      </c>
      <c r="F530" s="315">
        <v>0</v>
      </c>
      <c r="G530" s="315">
        <v>0</v>
      </c>
      <c r="H530" s="315">
        <v>0</v>
      </c>
      <c r="I530" s="315">
        <v>0</v>
      </c>
      <c r="J530" s="315">
        <v>0</v>
      </c>
      <c r="K530" s="315">
        <v>0</v>
      </c>
      <c r="L530" s="315">
        <v>0</v>
      </c>
      <c r="M530" s="315">
        <v>0</v>
      </c>
      <c r="N530" s="232">
        <v>0</v>
      </c>
      <c r="O530" s="232"/>
      <c r="P530" s="233"/>
    </row>
    <row r="531" spans="1:16">
      <c r="A531" s="224"/>
      <c r="B531" s="231"/>
      <c r="C531" s="171" t="s">
        <v>86</v>
      </c>
      <c r="D531" s="315">
        <v>0</v>
      </c>
      <c r="E531" s="315">
        <v>0</v>
      </c>
      <c r="F531" s="315">
        <v>0</v>
      </c>
      <c r="G531" s="315">
        <v>0</v>
      </c>
      <c r="H531" s="315">
        <v>0</v>
      </c>
      <c r="I531" s="315">
        <v>0</v>
      </c>
      <c r="J531" s="315">
        <v>0</v>
      </c>
      <c r="K531" s="315">
        <v>0</v>
      </c>
      <c r="L531" s="315">
        <v>0</v>
      </c>
      <c r="M531" s="315">
        <v>0</v>
      </c>
      <c r="N531" s="232">
        <v>0</v>
      </c>
      <c r="O531" s="232"/>
      <c r="P531" s="233"/>
    </row>
    <row r="532" spans="1:16">
      <c r="A532" s="224"/>
      <c r="B532" s="231"/>
      <c r="C532" s="171" t="s">
        <v>87</v>
      </c>
      <c r="D532" s="315">
        <v>0</v>
      </c>
      <c r="E532" s="315">
        <v>0</v>
      </c>
      <c r="F532" s="315">
        <v>0</v>
      </c>
      <c r="G532" s="315">
        <v>0</v>
      </c>
      <c r="H532" s="315">
        <v>0</v>
      </c>
      <c r="I532" s="315">
        <v>0</v>
      </c>
      <c r="J532" s="315">
        <v>0</v>
      </c>
      <c r="K532" s="315">
        <v>0</v>
      </c>
      <c r="L532" s="315">
        <v>0</v>
      </c>
      <c r="M532" s="315">
        <v>0</v>
      </c>
      <c r="N532" s="232">
        <v>0</v>
      </c>
      <c r="O532" s="232"/>
      <c r="P532" s="233"/>
    </row>
    <row r="533" spans="1:16">
      <c r="A533" s="224"/>
      <c r="B533" s="231"/>
      <c r="C533" s="171" t="s">
        <v>88</v>
      </c>
      <c r="D533" s="315">
        <v>0</v>
      </c>
      <c r="E533" s="315">
        <v>0</v>
      </c>
      <c r="F533" s="315">
        <v>0</v>
      </c>
      <c r="G533" s="315">
        <v>0</v>
      </c>
      <c r="H533" s="315">
        <v>0</v>
      </c>
      <c r="I533" s="315">
        <v>0</v>
      </c>
      <c r="J533" s="315">
        <v>0</v>
      </c>
      <c r="K533" s="315">
        <v>0</v>
      </c>
      <c r="L533" s="315">
        <v>0</v>
      </c>
      <c r="M533" s="315">
        <v>0</v>
      </c>
      <c r="N533" s="232">
        <v>0</v>
      </c>
      <c r="O533" s="232"/>
      <c r="P533" s="233"/>
    </row>
    <row r="534" spans="1:16">
      <c r="A534" s="224"/>
      <c r="B534" s="231"/>
      <c r="C534" s="171" t="s">
        <v>89</v>
      </c>
      <c r="D534" s="315">
        <v>0</v>
      </c>
      <c r="E534" s="315">
        <v>0</v>
      </c>
      <c r="F534" s="315">
        <v>0</v>
      </c>
      <c r="G534" s="315">
        <v>0</v>
      </c>
      <c r="H534" s="315">
        <v>0</v>
      </c>
      <c r="I534" s="315">
        <v>0</v>
      </c>
      <c r="J534" s="315">
        <v>0</v>
      </c>
      <c r="K534" s="315">
        <v>0</v>
      </c>
      <c r="L534" s="315">
        <v>0</v>
      </c>
      <c r="M534" s="315">
        <v>0</v>
      </c>
      <c r="N534" s="232">
        <v>0</v>
      </c>
      <c r="O534" s="232"/>
      <c r="P534" s="233"/>
    </row>
    <row r="535" spans="1:16">
      <c r="A535" s="224"/>
      <c r="B535" s="231"/>
      <c r="C535" s="171" t="s">
        <v>90</v>
      </c>
      <c r="D535" s="315">
        <v>0</v>
      </c>
      <c r="E535" s="315">
        <v>0</v>
      </c>
      <c r="F535" s="315">
        <v>0</v>
      </c>
      <c r="G535" s="315">
        <v>0</v>
      </c>
      <c r="H535" s="315">
        <v>0</v>
      </c>
      <c r="I535" s="315">
        <v>0</v>
      </c>
      <c r="J535" s="315">
        <v>0</v>
      </c>
      <c r="K535" s="315">
        <v>0</v>
      </c>
      <c r="L535" s="315">
        <v>0</v>
      </c>
      <c r="M535" s="315">
        <v>0</v>
      </c>
      <c r="N535" s="232">
        <v>0</v>
      </c>
      <c r="O535" s="232"/>
      <c r="P535" s="233"/>
    </row>
    <row r="536" spans="1:16">
      <c r="A536" s="224"/>
      <c r="B536" s="231"/>
      <c r="C536" s="171" t="s">
        <v>91</v>
      </c>
      <c r="D536" s="315">
        <v>0</v>
      </c>
      <c r="E536" s="315">
        <v>0</v>
      </c>
      <c r="F536" s="315">
        <v>0</v>
      </c>
      <c r="G536" s="315">
        <v>0</v>
      </c>
      <c r="H536" s="315">
        <v>0</v>
      </c>
      <c r="I536" s="315">
        <v>0</v>
      </c>
      <c r="J536" s="315">
        <v>0</v>
      </c>
      <c r="K536" s="315">
        <v>0</v>
      </c>
      <c r="L536" s="315">
        <v>0</v>
      </c>
      <c r="M536" s="315">
        <v>0</v>
      </c>
      <c r="N536" s="232">
        <v>0</v>
      </c>
      <c r="O536" s="232"/>
      <c r="P536" s="233"/>
    </row>
    <row r="537" spans="1:16">
      <c r="A537" s="224"/>
      <c r="B537" s="231"/>
      <c r="C537" s="171" t="s">
        <v>92</v>
      </c>
      <c r="D537" s="315">
        <v>0</v>
      </c>
      <c r="E537" s="315">
        <v>0</v>
      </c>
      <c r="F537" s="315">
        <v>0</v>
      </c>
      <c r="G537" s="315">
        <v>0</v>
      </c>
      <c r="H537" s="315">
        <v>0</v>
      </c>
      <c r="I537" s="315">
        <v>0</v>
      </c>
      <c r="J537" s="315">
        <v>0</v>
      </c>
      <c r="K537" s="315">
        <v>0</v>
      </c>
      <c r="L537" s="315">
        <v>0</v>
      </c>
      <c r="M537" s="315">
        <v>0</v>
      </c>
      <c r="N537" s="232">
        <v>0</v>
      </c>
      <c r="O537" s="232"/>
      <c r="P537" s="233"/>
    </row>
    <row r="538" spans="1:16">
      <c r="A538" s="224"/>
      <c r="B538" s="231"/>
      <c r="C538" s="171" t="s">
        <v>95</v>
      </c>
      <c r="D538" s="315">
        <v>0</v>
      </c>
      <c r="E538" s="315">
        <v>0</v>
      </c>
      <c r="F538" s="315">
        <v>0</v>
      </c>
      <c r="G538" s="315">
        <v>0</v>
      </c>
      <c r="H538" s="315">
        <v>0</v>
      </c>
      <c r="I538" s="315">
        <v>0</v>
      </c>
      <c r="J538" s="315">
        <v>0</v>
      </c>
      <c r="K538" s="315">
        <v>0</v>
      </c>
      <c r="L538" s="315">
        <v>0</v>
      </c>
      <c r="M538" s="315">
        <v>0</v>
      </c>
      <c r="N538" s="232">
        <v>0</v>
      </c>
      <c r="O538" s="232"/>
      <c r="P538" s="233"/>
    </row>
    <row r="539" spans="1:16">
      <c r="A539" s="224"/>
      <c r="B539" s="231"/>
      <c r="C539" s="171" t="s">
        <v>96</v>
      </c>
      <c r="D539" s="315">
        <v>0</v>
      </c>
      <c r="E539" s="315">
        <v>0</v>
      </c>
      <c r="F539" s="315">
        <v>0</v>
      </c>
      <c r="G539" s="315">
        <v>0</v>
      </c>
      <c r="H539" s="315">
        <v>0</v>
      </c>
      <c r="I539" s="315">
        <v>0</v>
      </c>
      <c r="J539" s="315">
        <v>0</v>
      </c>
      <c r="K539" s="315">
        <v>0</v>
      </c>
      <c r="L539" s="315">
        <v>0</v>
      </c>
      <c r="M539" s="315">
        <v>0</v>
      </c>
      <c r="N539" s="232">
        <v>0</v>
      </c>
      <c r="O539" s="232"/>
      <c r="P539" s="233"/>
    </row>
    <row r="540" spans="1:16">
      <c r="A540" s="224"/>
      <c r="B540" s="231"/>
      <c r="C540" s="171" t="s">
        <v>93</v>
      </c>
      <c r="D540" s="315">
        <v>0</v>
      </c>
      <c r="E540" s="315">
        <v>0</v>
      </c>
      <c r="F540" s="315">
        <v>0</v>
      </c>
      <c r="G540" s="315">
        <v>0</v>
      </c>
      <c r="H540" s="315">
        <v>0</v>
      </c>
      <c r="I540" s="315">
        <v>0</v>
      </c>
      <c r="J540" s="315">
        <v>0</v>
      </c>
      <c r="K540" s="315">
        <v>0</v>
      </c>
      <c r="L540" s="315">
        <v>0</v>
      </c>
      <c r="M540" s="315">
        <v>0</v>
      </c>
      <c r="N540" s="232">
        <v>0</v>
      </c>
      <c r="O540" s="232"/>
      <c r="P540" s="233"/>
    </row>
    <row r="541" spans="1:16">
      <c r="A541" s="224"/>
      <c r="B541" s="231"/>
      <c r="C541" s="171" t="s">
        <v>97</v>
      </c>
      <c r="D541" s="315">
        <v>0</v>
      </c>
      <c r="E541" s="315">
        <v>0</v>
      </c>
      <c r="F541" s="315">
        <v>0</v>
      </c>
      <c r="G541" s="315">
        <v>0</v>
      </c>
      <c r="H541" s="315">
        <v>0</v>
      </c>
      <c r="I541" s="315">
        <v>0</v>
      </c>
      <c r="J541" s="315">
        <v>0</v>
      </c>
      <c r="K541" s="315">
        <v>0</v>
      </c>
      <c r="L541" s="315">
        <v>0</v>
      </c>
      <c r="M541" s="315">
        <v>0</v>
      </c>
      <c r="N541" s="232">
        <v>0</v>
      </c>
      <c r="O541" s="232"/>
      <c r="P541" s="233"/>
    </row>
    <row r="542" spans="1:16">
      <c r="A542" s="224"/>
      <c r="B542" s="231"/>
      <c r="C542" s="172" t="s">
        <v>136</v>
      </c>
      <c r="D542" s="315">
        <v>0</v>
      </c>
      <c r="E542" s="315">
        <v>0</v>
      </c>
      <c r="F542" s="315">
        <v>0</v>
      </c>
      <c r="G542" s="315">
        <v>0</v>
      </c>
      <c r="H542" s="315">
        <v>0</v>
      </c>
      <c r="I542" s="315">
        <v>0</v>
      </c>
      <c r="J542" s="315">
        <v>0</v>
      </c>
      <c r="K542" s="315">
        <v>0</v>
      </c>
      <c r="L542" s="315">
        <v>0</v>
      </c>
      <c r="M542" s="315">
        <v>0</v>
      </c>
      <c r="N542" s="232">
        <v>0</v>
      </c>
      <c r="O542" s="232"/>
      <c r="P542" s="233"/>
    </row>
    <row r="543" spans="1:16">
      <c r="A543" s="224"/>
      <c r="B543" s="231" t="s">
        <v>171</v>
      </c>
      <c r="C543" s="171" t="s">
        <v>102</v>
      </c>
      <c r="D543" s="315">
        <v>0</v>
      </c>
      <c r="E543" s="315">
        <v>0</v>
      </c>
      <c r="F543" s="315">
        <v>0</v>
      </c>
      <c r="G543" s="315">
        <v>0</v>
      </c>
      <c r="H543" s="315">
        <v>0</v>
      </c>
      <c r="I543" s="315">
        <v>0</v>
      </c>
      <c r="J543" s="315">
        <v>0</v>
      </c>
      <c r="K543" s="315">
        <v>0</v>
      </c>
      <c r="L543" s="315">
        <v>0</v>
      </c>
      <c r="M543" s="315">
        <v>0</v>
      </c>
      <c r="N543" s="232">
        <v>0</v>
      </c>
      <c r="O543" s="232"/>
      <c r="P543" s="233"/>
    </row>
    <row r="544" spans="1:16">
      <c r="A544" s="224"/>
      <c r="B544" s="231"/>
      <c r="C544" s="171" t="s">
        <v>98</v>
      </c>
      <c r="D544" s="315">
        <v>0</v>
      </c>
      <c r="E544" s="315">
        <v>0</v>
      </c>
      <c r="F544" s="315">
        <v>0</v>
      </c>
      <c r="G544" s="315">
        <v>0</v>
      </c>
      <c r="H544" s="315">
        <v>0</v>
      </c>
      <c r="I544" s="315">
        <v>0</v>
      </c>
      <c r="J544" s="315">
        <v>0</v>
      </c>
      <c r="K544" s="315">
        <v>0</v>
      </c>
      <c r="L544" s="315">
        <v>0</v>
      </c>
      <c r="M544" s="315">
        <v>0</v>
      </c>
      <c r="N544" s="232">
        <v>0</v>
      </c>
      <c r="O544" s="232"/>
      <c r="P544" s="233"/>
    </row>
    <row r="545" spans="1:16">
      <c r="A545" s="224"/>
      <c r="B545" s="231"/>
      <c r="C545" s="171" t="s">
        <v>99</v>
      </c>
      <c r="D545" s="315">
        <v>0</v>
      </c>
      <c r="E545" s="315">
        <v>0</v>
      </c>
      <c r="F545" s="315">
        <v>0</v>
      </c>
      <c r="G545" s="315">
        <v>0</v>
      </c>
      <c r="H545" s="315">
        <v>0</v>
      </c>
      <c r="I545" s="315">
        <v>0</v>
      </c>
      <c r="J545" s="315">
        <v>0</v>
      </c>
      <c r="K545" s="315">
        <v>0</v>
      </c>
      <c r="L545" s="315">
        <v>0</v>
      </c>
      <c r="M545" s="315">
        <v>0</v>
      </c>
      <c r="N545" s="232">
        <v>0</v>
      </c>
      <c r="O545" s="232"/>
      <c r="P545" s="233"/>
    </row>
    <row r="546" spans="1:16">
      <c r="A546" s="224"/>
      <c r="B546" s="231"/>
      <c r="C546" s="171" t="s">
        <v>83</v>
      </c>
      <c r="D546" s="315">
        <v>0</v>
      </c>
      <c r="E546" s="315">
        <v>0</v>
      </c>
      <c r="F546" s="315">
        <v>0</v>
      </c>
      <c r="G546" s="315">
        <v>0</v>
      </c>
      <c r="H546" s="315">
        <v>0</v>
      </c>
      <c r="I546" s="315">
        <v>0</v>
      </c>
      <c r="J546" s="315">
        <v>0</v>
      </c>
      <c r="K546" s="315">
        <v>0</v>
      </c>
      <c r="L546" s="315">
        <v>0</v>
      </c>
      <c r="M546" s="315">
        <v>0</v>
      </c>
      <c r="N546" s="232">
        <v>0</v>
      </c>
      <c r="O546" s="232"/>
      <c r="P546" s="233"/>
    </row>
    <row r="547" spans="1:16">
      <c r="A547" s="224"/>
      <c r="B547" s="231"/>
      <c r="C547" s="171" t="s">
        <v>84</v>
      </c>
      <c r="D547" s="315">
        <v>0</v>
      </c>
      <c r="E547" s="315">
        <v>0</v>
      </c>
      <c r="F547" s="315">
        <v>0</v>
      </c>
      <c r="G547" s="315">
        <v>0</v>
      </c>
      <c r="H547" s="315">
        <v>0</v>
      </c>
      <c r="I547" s="315">
        <v>0</v>
      </c>
      <c r="J547" s="315">
        <v>0</v>
      </c>
      <c r="K547" s="315">
        <v>0</v>
      </c>
      <c r="L547" s="315">
        <v>0</v>
      </c>
      <c r="M547" s="315">
        <v>0</v>
      </c>
      <c r="N547" s="232">
        <v>0</v>
      </c>
      <c r="O547" s="232"/>
      <c r="P547" s="233"/>
    </row>
    <row r="548" spans="1:16">
      <c r="A548" s="224"/>
      <c r="B548" s="231"/>
      <c r="C548" s="171" t="s">
        <v>85</v>
      </c>
      <c r="D548" s="315">
        <v>0</v>
      </c>
      <c r="E548" s="315">
        <v>0</v>
      </c>
      <c r="F548" s="315">
        <v>0</v>
      </c>
      <c r="G548" s="315">
        <v>0</v>
      </c>
      <c r="H548" s="315">
        <v>0</v>
      </c>
      <c r="I548" s="315">
        <v>0</v>
      </c>
      <c r="J548" s="315">
        <v>0</v>
      </c>
      <c r="K548" s="315">
        <v>0</v>
      </c>
      <c r="L548" s="315">
        <v>0</v>
      </c>
      <c r="M548" s="315">
        <v>0</v>
      </c>
      <c r="N548" s="232">
        <v>0</v>
      </c>
      <c r="O548" s="232"/>
      <c r="P548" s="233"/>
    </row>
    <row r="549" spans="1:16">
      <c r="A549" s="224"/>
      <c r="B549" s="231"/>
      <c r="C549" s="171" t="s">
        <v>86</v>
      </c>
      <c r="D549" s="315">
        <v>0</v>
      </c>
      <c r="E549" s="315">
        <v>0</v>
      </c>
      <c r="F549" s="315">
        <v>0</v>
      </c>
      <c r="G549" s="315">
        <v>0</v>
      </c>
      <c r="H549" s="315">
        <v>0</v>
      </c>
      <c r="I549" s="315">
        <v>0</v>
      </c>
      <c r="J549" s="315">
        <v>0</v>
      </c>
      <c r="K549" s="315">
        <v>0</v>
      </c>
      <c r="L549" s="315">
        <v>0</v>
      </c>
      <c r="M549" s="315">
        <v>0</v>
      </c>
      <c r="N549" s="232">
        <v>0</v>
      </c>
      <c r="O549" s="232"/>
      <c r="P549" s="233"/>
    </row>
    <row r="550" spans="1:16">
      <c r="A550" s="224"/>
      <c r="B550" s="231"/>
      <c r="C550" s="171" t="s">
        <v>87</v>
      </c>
      <c r="D550" s="315">
        <v>0</v>
      </c>
      <c r="E550" s="315">
        <v>0</v>
      </c>
      <c r="F550" s="315">
        <v>0</v>
      </c>
      <c r="G550" s="315">
        <v>0</v>
      </c>
      <c r="H550" s="315">
        <v>0</v>
      </c>
      <c r="I550" s="315">
        <v>0</v>
      </c>
      <c r="J550" s="315">
        <v>0</v>
      </c>
      <c r="K550" s="315">
        <v>0</v>
      </c>
      <c r="L550" s="315">
        <v>0</v>
      </c>
      <c r="M550" s="315">
        <v>0</v>
      </c>
      <c r="N550" s="232">
        <v>0</v>
      </c>
      <c r="O550" s="232"/>
      <c r="P550" s="233"/>
    </row>
    <row r="551" spans="1:16">
      <c r="A551" s="224"/>
      <c r="B551" s="231"/>
      <c r="C551" s="171" t="s">
        <v>88</v>
      </c>
      <c r="D551" s="315">
        <v>0</v>
      </c>
      <c r="E551" s="315">
        <v>0</v>
      </c>
      <c r="F551" s="315">
        <v>0</v>
      </c>
      <c r="G551" s="315">
        <v>0</v>
      </c>
      <c r="H551" s="315">
        <v>0</v>
      </c>
      <c r="I551" s="315">
        <v>0</v>
      </c>
      <c r="J551" s="315">
        <v>0</v>
      </c>
      <c r="K551" s="315">
        <v>0</v>
      </c>
      <c r="L551" s="315">
        <v>0</v>
      </c>
      <c r="M551" s="315">
        <v>0</v>
      </c>
      <c r="N551" s="232">
        <v>0</v>
      </c>
      <c r="O551" s="232"/>
      <c r="P551" s="233"/>
    </row>
    <row r="552" spans="1:16">
      <c r="A552" s="224"/>
      <c r="B552" s="231"/>
      <c r="C552" s="171" t="s">
        <v>89</v>
      </c>
      <c r="D552" s="315">
        <v>0</v>
      </c>
      <c r="E552" s="315">
        <v>0</v>
      </c>
      <c r="F552" s="315">
        <v>0</v>
      </c>
      <c r="G552" s="315">
        <v>0</v>
      </c>
      <c r="H552" s="315">
        <v>0</v>
      </c>
      <c r="I552" s="315">
        <v>0</v>
      </c>
      <c r="J552" s="315">
        <v>0</v>
      </c>
      <c r="K552" s="315">
        <v>0</v>
      </c>
      <c r="L552" s="315">
        <v>0</v>
      </c>
      <c r="M552" s="315">
        <v>0</v>
      </c>
      <c r="N552" s="232">
        <v>0</v>
      </c>
      <c r="O552" s="232"/>
      <c r="P552" s="233"/>
    </row>
    <row r="553" spans="1:16">
      <c r="A553" s="224"/>
      <c r="B553" s="231"/>
      <c r="C553" s="171" t="s">
        <v>90</v>
      </c>
      <c r="D553" s="315">
        <v>0</v>
      </c>
      <c r="E553" s="315">
        <v>0</v>
      </c>
      <c r="F553" s="315">
        <v>0</v>
      </c>
      <c r="G553" s="315">
        <v>0</v>
      </c>
      <c r="H553" s="315">
        <v>0</v>
      </c>
      <c r="I553" s="315">
        <v>0</v>
      </c>
      <c r="J553" s="315">
        <v>0</v>
      </c>
      <c r="K553" s="315">
        <v>0</v>
      </c>
      <c r="L553" s="315">
        <v>0</v>
      </c>
      <c r="M553" s="315">
        <v>0</v>
      </c>
      <c r="N553" s="232">
        <v>0</v>
      </c>
      <c r="O553" s="232"/>
      <c r="P553" s="233"/>
    </row>
    <row r="554" spans="1:16">
      <c r="A554" s="224"/>
      <c r="B554" s="231"/>
      <c r="C554" s="171" t="s">
        <v>91</v>
      </c>
      <c r="D554" s="315">
        <v>0</v>
      </c>
      <c r="E554" s="315">
        <v>0</v>
      </c>
      <c r="F554" s="315">
        <v>0</v>
      </c>
      <c r="G554" s="315">
        <v>0</v>
      </c>
      <c r="H554" s="315">
        <v>0</v>
      </c>
      <c r="I554" s="315">
        <v>0</v>
      </c>
      <c r="J554" s="315">
        <v>0</v>
      </c>
      <c r="K554" s="315">
        <v>0</v>
      </c>
      <c r="L554" s="315">
        <v>0</v>
      </c>
      <c r="M554" s="315">
        <v>0</v>
      </c>
      <c r="N554" s="232">
        <v>0</v>
      </c>
      <c r="O554" s="232"/>
      <c r="P554" s="233"/>
    </row>
    <row r="555" spans="1:16">
      <c r="A555" s="224"/>
      <c r="B555" s="231"/>
      <c r="C555" s="171" t="s">
        <v>92</v>
      </c>
      <c r="D555" s="315">
        <v>0</v>
      </c>
      <c r="E555" s="315">
        <v>0</v>
      </c>
      <c r="F555" s="315">
        <v>0</v>
      </c>
      <c r="G555" s="315">
        <v>0</v>
      </c>
      <c r="H555" s="315">
        <v>0</v>
      </c>
      <c r="I555" s="315">
        <v>0</v>
      </c>
      <c r="J555" s="315">
        <v>0</v>
      </c>
      <c r="K555" s="315">
        <v>0</v>
      </c>
      <c r="L555" s="315">
        <v>0</v>
      </c>
      <c r="M555" s="315">
        <v>0</v>
      </c>
      <c r="N555" s="232">
        <v>0</v>
      </c>
      <c r="O555" s="232"/>
      <c r="P555" s="233"/>
    </row>
    <row r="556" spans="1:16">
      <c r="A556" s="224"/>
      <c r="B556" s="231"/>
      <c r="C556" s="171" t="s">
        <v>95</v>
      </c>
      <c r="D556" s="315">
        <v>0</v>
      </c>
      <c r="E556" s="315">
        <v>0</v>
      </c>
      <c r="F556" s="315">
        <v>0</v>
      </c>
      <c r="G556" s="315">
        <v>0</v>
      </c>
      <c r="H556" s="315">
        <v>0</v>
      </c>
      <c r="I556" s="315">
        <v>0</v>
      </c>
      <c r="J556" s="315">
        <v>0</v>
      </c>
      <c r="K556" s="315">
        <v>0</v>
      </c>
      <c r="L556" s="315">
        <v>0</v>
      </c>
      <c r="M556" s="315">
        <v>0</v>
      </c>
      <c r="N556" s="232">
        <v>0</v>
      </c>
      <c r="O556" s="232"/>
      <c r="P556" s="233"/>
    </row>
    <row r="557" spans="1:16">
      <c r="A557" s="224"/>
      <c r="B557" s="231"/>
      <c r="C557" s="171" t="s">
        <v>96</v>
      </c>
      <c r="D557" s="315">
        <v>0</v>
      </c>
      <c r="E557" s="315">
        <v>0</v>
      </c>
      <c r="F557" s="315">
        <v>0</v>
      </c>
      <c r="G557" s="315">
        <v>0</v>
      </c>
      <c r="H557" s="315">
        <v>0</v>
      </c>
      <c r="I557" s="315">
        <v>0</v>
      </c>
      <c r="J557" s="315">
        <v>0</v>
      </c>
      <c r="K557" s="315">
        <v>0</v>
      </c>
      <c r="L557" s="315">
        <v>0</v>
      </c>
      <c r="M557" s="315">
        <v>0</v>
      </c>
      <c r="N557" s="232">
        <v>0</v>
      </c>
      <c r="O557" s="232"/>
      <c r="P557" s="233"/>
    </row>
    <row r="558" spans="1:16">
      <c r="A558" s="224"/>
      <c r="B558" s="231"/>
      <c r="C558" s="171" t="s">
        <v>93</v>
      </c>
      <c r="D558" s="315">
        <v>0</v>
      </c>
      <c r="E558" s="315">
        <v>0</v>
      </c>
      <c r="F558" s="315">
        <v>0</v>
      </c>
      <c r="G558" s="315">
        <v>0</v>
      </c>
      <c r="H558" s="315">
        <v>0</v>
      </c>
      <c r="I558" s="315">
        <v>0</v>
      </c>
      <c r="J558" s="315">
        <v>0</v>
      </c>
      <c r="K558" s="315">
        <v>0</v>
      </c>
      <c r="L558" s="315">
        <v>0</v>
      </c>
      <c r="M558" s="315">
        <v>0</v>
      </c>
      <c r="N558" s="232">
        <v>0</v>
      </c>
      <c r="O558" s="232"/>
      <c r="P558" s="233"/>
    </row>
    <row r="559" spans="1:16">
      <c r="A559" s="224"/>
      <c r="B559" s="231"/>
      <c r="C559" s="171" t="s">
        <v>97</v>
      </c>
      <c r="D559" s="315">
        <v>0</v>
      </c>
      <c r="E559" s="315">
        <v>0</v>
      </c>
      <c r="F559" s="315">
        <v>0</v>
      </c>
      <c r="G559" s="315">
        <v>0</v>
      </c>
      <c r="H559" s="315">
        <v>0</v>
      </c>
      <c r="I559" s="315">
        <v>0</v>
      </c>
      <c r="J559" s="315">
        <v>0</v>
      </c>
      <c r="K559" s="315">
        <v>0</v>
      </c>
      <c r="L559" s="315">
        <v>0</v>
      </c>
      <c r="M559" s="315">
        <v>0</v>
      </c>
      <c r="N559" s="232">
        <v>0</v>
      </c>
      <c r="O559" s="232"/>
      <c r="P559" s="233"/>
    </row>
    <row r="560" spans="1:16">
      <c r="A560" s="224"/>
      <c r="B560" s="231"/>
      <c r="C560" s="172" t="s">
        <v>136</v>
      </c>
      <c r="D560" s="315">
        <v>0</v>
      </c>
      <c r="E560" s="315">
        <v>0</v>
      </c>
      <c r="F560" s="315">
        <v>0</v>
      </c>
      <c r="G560" s="315">
        <v>0</v>
      </c>
      <c r="H560" s="315">
        <v>0</v>
      </c>
      <c r="I560" s="315">
        <v>0</v>
      </c>
      <c r="J560" s="315">
        <v>0</v>
      </c>
      <c r="K560" s="315">
        <v>0</v>
      </c>
      <c r="L560" s="315">
        <v>0</v>
      </c>
      <c r="M560" s="315">
        <v>0</v>
      </c>
      <c r="N560" s="232">
        <v>0</v>
      </c>
      <c r="O560" s="232"/>
      <c r="P560" s="233"/>
    </row>
    <row r="561" spans="1:16">
      <c r="A561" s="224"/>
      <c r="B561" s="231" t="s">
        <v>172</v>
      </c>
      <c r="C561" s="171" t="s">
        <v>102</v>
      </c>
      <c r="D561" s="315">
        <v>0</v>
      </c>
      <c r="E561" s="315">
        <v>0</v>
      </c>
      <c r="F561" s="315">
        <v>0</v>
      </c>
      <c r="G561" s="315">
        <v>0</v>
      </c>
      <c r="H561" s="315">
        <v>0</v>
      </c>
      <c r="I561" s="315">
        <v>0</v>
      </c>
      <c r="J561" s="315">
        <v>0</v>
      </c>
      <c r="K561" s="315">
        <v>0</v>
      </c>
      <c r="L561" s="315">
        <v>0</v>
      </c>
      <c r="M561" s="315">
        <v>0</v>
      </c>
      <c r="N561" s="232">
        <v>0</v>
      </c>
      <c r="O561" s="232"/>
      <c r="P561" s="233"/>
    </row>
    <row r="562" spans="1:16">
      <c r="A562" s="224"/>
      <c r="B562" s="231"/>
      <c r="C562" s="171" t="s">
        <v>98</v>
      </c>
      <c r="D562" s="315">
        <v>0</v>
      </c>
      <c r="E562" s="315">
        <v>0</v>
      </c>
      <c r="F562" s="315">
        <v>0</v>
      </c>
      <c r="G562" s="315">
        <v>0</v>
      </c>
      <c r="H562" s="315">
        <v>0</v>
      </c>
      <c r="I562" s="315">
        <v>0</v>
      </c>
      <c r="J562" s="315">
        <v>0</v>
      </c>
      <c r="K562" s="315">
        <v>0</v>
      </c>
      <c r="L562" s="315">
        <v>0</v>
      </c>
      <c r="M562" s="315">
        <v>0</v>
      </c>
      <c r="N562" s="232">
        <v>0</v>
      </c>
      <c r="O562" s="232"/>
      <c r="P562" s="233"/>
    </row>
    <row r="563" spans="1:16">
      <c r="A563" s="224"/>
      <c r="B563" s="231"/>
      <c r="C563" s="171" t="s">
        <v>99</v>
      </c>
      <c r="D563" s="315">
        <v>0</v>
      </c>
      <c r="E563" s="315">
        <v>0</v>
      </c>
      <c r="F563" s="315">
        <v>0</v>
      </c>
      <c r="G563" s="315">
        <v>0</v>
      </c>
      <c r="H563" s="315">
        <v>0</v>
      </c>
      <c r="I563" s="315">
        <v>0</v>
      </c>
      <c r="J563" s="315">
        <v>0</v>
      </c>
      <c r="K563" s="315">
        <v>0</v>
      </c>
      <c r="L563" s="315">
        <v>0</v>
      </c>
      <c r="M563" s="315">
        <v>0</v>
      </c>
      <c r="N563" s="232">
        <v>0</v>
      </c>
      <c r="O563" s="232"/>
      <c r="P563" s="233"/>
    </row>
    <row r="564" spans="1:16">
      <c r="A564" s="224"/>
      <c r="B564" s="231"/>
      <c r="C564" s="171" t="s">
        <v>83</v>
      </c>
      <c r="D564" s="315">
        <v>0</v>
      </c>
      <c r="E564" s="315">
        <v>0</v>
      </c>
      <c r="F564" s="315">
        <v>0</v>
      </c>
      <c r="G564" s="315">
        <v>0</v>
      </c>
      <c r="H564" s="315">
        <v>0</v>
      </c>
      <c r="I564" s="315">
        <v>0</v>
      </c>
      <c r="J564" s="315">
        <v>0</v>
      </c>
      <c r="K564" s="315">
        <v>0</v>
      </c>
      <c r="L564" s="315">
        <v>0</v>
      </c>
      <c r="M564" s="315">
        <v>0</v>
      </c>
      <c r="N564" s="232">
        <v>0</v>
      </c>
      <c r="O564" s="232"/>
      <c r="P564" s="233"/>
    </row>
    <row r="565" spans="1:16">
      <c r="A565" s="224"/>
      <c r="B565" s="231"/>
      <c r="C565" s="171" t="s">
        <v>84</v>
      </c>
      <c r="D565" s="315">
        <v>0</v>
      </c>
      <c r="E565" s="315">
        <v>0</v>
      </c>
      <c r="F565" s="315">
        <v>0</v>
      </c>
      <c r="G565" s="315">
        <v>0</v>
      </c>
      <c r="H565" s="315">
        <v>0</v>
      </c>
      <c r="I565" s="315">
        <v>0</v>
      </c>
      <c r="J565" s="315">
        <v>0</v>
      </c>
      <c r="K565" s="315">
        <v>0</v>
      </c>
      <c r="L565" s="315">
        <v>0</v>
      </c>
      <c r="M565" s="315">
        <v>0</v>
      </c>
      <c r="N565" s="232">
        <v>0</v>
      </c>
      <c r="O565" s="232"/>
      <c r="P565" s="233"/>
    </row>
    <row r="566" spans="1:16">
      <c r="A566" s="224"/>
      <c r="B566" s="231"/>
      <c r="C566" s="171" t="s">
        <v>85</v>
      </c>
      <c r="D566" s="315">
        <v>0</v>
      </c>
      <c r="E566" s="315">
        <v>0</v>
      </c>
      <c r="F566" s="315">
        <v>0</v>
      </c>
      <c r="G566" s="315">
        <v>0</v>
      </c>
      <c r="H566" s="315">
        <v>0</v>
      </c>
      <c r="I566" s="315">
        <v>0</v>
      </c>
      <c r="J566" s="315">
        <v>0</v>
      </c>
      <c r="K566" s="315">
        <v>0</v>
      </c>
      <c r="L566" s="315">
        <v>0</v>
      </c>
      <c r="M566" s="315">
        <v>0</v>
      </c>
      <c r="N566" s="232">
        <v>0</v>
      </c>
      <c r="O566" s="232"/>
      <c r="P566" s="233"/>
    </row>
    <row r="567" spans="1:16">
      <c r="A567" s="224"/>
      <c r="B567" s="231"/>
      <c r="C567" s="171" t="s">
        <v>86</v>
      </c>
      <c r="D567" s="315">
        <v>0</v>
      </c>
      <c r="E567" s="315">
        <v>0</v>
      </c>
      <c r="F567" s="315">
        <v>0</v>
      </c>
      <c r="G567" s="315">
        <v>0</v>
      </c>
      <c r="H567" s="315">
        <v>0</v>
      </c>
      <c r="I567" s="315">
        <v>0</v>
      </c>
      <c r="J567" s="315">
        <v>0</v>
      </c>
      <c r="K567" s="315">
        <v>0</v>
      </c>
      <c r="L567" s="315">
        <v>0</v>
      </c>
      <c r="M567" s="315">
        <v>0</v>
      </c>
      <c r="N567" s="232">
        <v>0</v>
      </c>
      <c r="O567" s="232"/>
      <c r="P567" s="233"/>
    </row>
    <row r="568" spans="1:16">
      <c r="A568" s="224"/>
      <c r="B568" s="231"/>
      <c r="C568" s="171" t="s">
        <v>87</v>
      </c>
      <c r="D568" s="315">
        <v>0</v>
      </c>
      <c r="E568" s="315">
        <v>0</v>
      </c>
      <c r="F568" s="315">
        <v>0</v>
      </c>
      <c r="G568" s="315">
        <v>0</v>
      </c>
      <c r="H568" s="315">
        <v>0</v>
      </c>
      <c r="I568" s="315">
        <v>0</v>
      </c>
      <c r="J568" s="315">
        <v>0</v>
      </c>
      <c r="K568" s="315">
        <v>0</v>
      </c>
      <c r="L568" s="315">
        <v>0</v>
      </c>
      <c r="M568" s="315">
        <v>0</v>
      </c>
      <c r="N568" s="232">
        <v>0</v>
      </c>
      <c r="O568" s="232"/>
      <c r="P568" s="233"/>
    </row>
    <row r="569" spans="1:16">
      <c r="A569" s="224"/>
      <c r="B569" s="231"/>
      <c r="C569" s="171" t="s">
        <v>88</v>
      </c>
      <c r="D569" s="315">
        <v>0</v>
      </c>
      <c r="E569" s="315">
        <v>0</v>
      </c>
      <c r="F569" s="315">
        <v>0</v>
      </c>
      <c r="G569" s="315">
        <v>0</v>
      </c>
      <c r="H569" s="315">
        <v>0</v>
      </c>
      <c r="I569" s="315">
        <v>0</v>
      </c>
      <c r="J569" s="315">
        <v>0</v>
      </c>
      <c r="K569" s="315">
        <v>0</v>
      </c>
      <c r="L569" s="315">
        <v>0</v>
      </c>
      <c r="M569" s="315">
        <v>0</v>
      </c>
      <c r="N569" s="232">
        <v>0</v>
      </c>
      <c r="O569" s="232"/>
      <c r="P569" s="233"/>
    </row>
    <row r="570" spans="1:16">
      <c r="A570" s="224"/>
      <c r="B570" s="231"/>
      <c r="C570" s="171" t="s">
        <v>89</v>
      </c>
      <c r="D570" s="315">
        <v>0</v>
      </c>
      <c r="E570" s="315">
        <v>0</v>
      </c>
      <c r="F570" s="315">
        <v>0</v>
      </c>
      <c r="G570" s="315">
        <v>0</v>
      </c>
      <c r="H570" s="315">
        <v>0</v>
      </c>
      <c r="I570" s="315">
        <v>0</v>
      </c>
      <c r="J570" s="315">
        <v>0</v>
      </c>
      <c r="K570" s="315">
        <v>0</v>
      </c>
      <c r="L570" s="315">
        <v>0</v>
      </c>
      <c r="M570" s="315">
        <v>0</v>
      </c>
      <c r="N570" s="232">
        <v>0</v>
      </c>
      <c r="O570" s="232"/>
      <c r="P570" s="233"/>
    </row>
    <row r="571" spans="1:16">
      <c r="A571" s="224"/>
      <c r="B571" s="231"/>
      <c r="C571" s="171" t="s">
        <v>90</v>
      </c>
      <c r="D571" s="315">
        <v>0</v>
      </c>
      <c r="E571" s="315">
        <v>0</v>
      </c>
      <c r="F571" s="315">
        <v>0</v>
      </c>
      <c r="G571" s="315">
        <v>0</v>
      </c>
      <c r="H571" s="315">
        <v>0</v>
      </c>
      <c r="I571" s="315">
        <v>0</v>
      </c>
      <c r="J571" s="315">
        <v>0</v>
      </c>
      <c r="K571" s="315">
        <v>0</v>
      </c>
      <c r="L571" s="315">
        <v>0</v>
      </c>
      <c r="M571" s="315">
        <v>0</v>
      </c>
      <c r="N571" s="232">
        <v>0</v>
      </c>
      <c r="O571" s="232"/>
      <c r="P571" s="233"/>
    </row>
    <row r="572" spans="1:16">
      <c r="A572" s="224"/>
      <c r="B572" s="231"/>
      <c r="C572" s="171" t="s">
        <v>91</v>
      </c>
      <c r="D572" s="315">
        <v>0</v>
      </c>
      <c r="E572" s="315">
        <v>0</v>
      </c>
      <c r="F572" s="315">
        <v>0</v>
      </c>
      <c r="G572" s="315">
        <v>0</v>
      </c>
      <c r="H572" s="315">
        <v>0</v>
      </c>
      <c r="I572" s="315">
        <v>0</v>
      </c>
      <c r="J572" s="315">
        <v>0</v>
      </c>
      <c r="K572" s="315">
        <v>0</v>
      </c>
      <c r="L572" s="315">
        <v>0</v>
      </c>
      <c r="M572" s="315">
        <v>0</v>
      </c>
      <c r="N572" s="232">
        <v>0</v>
      </c>
      <c r="O572" s="232"/>
      <c r="P572" s="233"/>
    </row>
    <row r="573" spans="1:16">
      <c r="A573" s="224"/>
      <c r="B573" s="231"/>
      <c r="C573" s="171" t="s">
        <v>92</v>
      </c>
      <c r="D573" s="315">
        <v>0</v>
      </c>
      <c r="E573" s="315">
        <v>0</v>
      </c>
      <c r="F573" s="315">
        <v>0</v>
      </c>
      <c r="G573" s="315">
        <v>0</v>
      </c>
      <c r="H573" s="315">
        <v>0</v>
      </c>
      <c r="I573" s="315">
        <v>0</v>
      </c>
      <c r="J573" s="315">
        <v>0</v>
      </c>
      <c r="K573" s="315">
        <v>0</v>
      </c>
      <c r="L573" s="315">
        <v>0</v>
      </c>
      <c r="M573" s="315">
        <v>0</v>
      </c>
      <c r="N573" s="232">
        <v>0</v>
      </c>
      <c r="O573" s="232"/>
      <c r="P573" s="233"/>
    </row>
    <row r="574" spans="1:16">
      <c r="A574" s="224"/>
      <c r="B574" s="231"/>
      <c r="C574" s="171" t="s">
        <v>95</v>
      </c>
      <c r="D574" s="315">
        <v>0</v>
      </c>
      <c r="E574" s="315">
        <v>0</v>
      </c>
      <c r="F574" s="315">
        <v>0</v>
      </c>
      <c r="G574" s="315">
        <v>0</v>
      </c>
      <c r="H574" s="315">
        <v>0</v>
      </c>
      <c r="I574" s="315">
        <v>0</v>
      </c>
      <c r="J574" s="315">
        <v>0</v>
      </c>
      <c r="K574" s="315">
        <v>0</v>
      </c>
      <c r="L574" s="315">
        <v>0</v>
      </c>
      <c r="M574" s="315">
        <v>0</v>
      </c>
      <c r="N574" s="232">
        <v>0</v>
      </c>
      <c r="O574" s="232"/>
      <c r="P574" s="233"/>
    </row>
    <row r="575" spans="1:16">
      <c r="A575" s="224"/>
      <c r="B575" s="231"/>
      <c r="C575" s="171" t="s">
        <v>96</v>
      </c>
      <c r="D575" s="315">
        <v>0</v>
      </c>
      <c r="E575" s="315">
        <v>0</v>
      </c>
      <c r="F575" s="315">
        <v>0</v>
      </c>
      <c r="G575" s="315">
        <v>0</v>
      </c>
      <c r="H575" s="315">
        <v>0</v>
      </c>
      <c r="I575" s="315">
        <v>0</v>
      </c>
      <c r="J575" s="315">
        <v>0</v>
      </c>
      <c r="K575" s="315">
        <v>0</v>
      </c>
      <c r="L575" s="315">
        <v>0</v>
      </c>
      <c r="M575" s="315">
        <v>0</v>
      </c>
      <c r="N575" s="232">
        <v>0</v>
      </c>
      <c r="O575" s="232"/>
      <c r="P575" s="233"/>
    </row>
    <row r="576" spans="1:16">
      <c r="A576" s="224"/>
      <c r="B576" s="231"/>
      <c r="C576" s="171" t="s">
        <v>93</v>
      </c>
      <c r="D576" s="315">
        <v>0</v>
      </c>
      <c r="E576" s="315">
        <v>0</v>
      </c>
      <c r="F576" s="315">
        <v>0</v>
      </c>
      <c r="G576" s="315">
        <v>0</v>
      </c>
      <c r="H576" s="315">
        <v>0</v>
      </c>
      <c r="I576" s="315">
        <v>0</v>
      </c>
      <c r="J576" s="315">
        <v>0</v>
      </c>
      <c r="K576" s="315">
        <v>0</v>
      </c>
      <c r="L576" s="315">
        <v>0</v>
      </c>
      <c r="M576" s="315">
        <v>0</v>
      </c>
      <c r="N576" s="232">
        <v>0</v>
      </c>
      <c r="O576" s="232"/>
      <c r="P576" s="233"/>
    </row>
    <row r="577" spans="1:16">
      <c r="A577" s="224"/>
      <c r="B577" s="231"/>
      <c r="C577" s="171" t="s">
        <v>97</v>
      </c>
      <c r="D577" s="315">
        <v>0</v>
      </c>
      <c r="E577" s="315">
        <v>0</v>
      </c>
      <c r="F577" s="315">
        <v>0</v>
      </c>
      <c r="G577" s="315">
        <v>0</v>
      </c>
      <c r="H577" s="315">
        <v>0</v>
      </c>
      <c r="I577" s="315">
        <v>0</v>
      </c>
      <c r="J577" s="315">
        <v>0</v>
      </c>
      <c r="K577" s="315">
        <v>0</v>
      </c>
      <c r="L577" s="315">
        <v>0</v>
      </c>
      <c r="M577" s="315">
        <v>0</v>
      </c>
      <c r="N577" s="232">
        <v>0</v>
      </c>
      <c r="O577" s="232"/>
      <c r="P577" s="233"/>
    </row>
    <row r="578" spans="1:16">
      <c r="A578" s="224"/>
      <c r="B578" s="231"/>
      <c r="C578" s="172" t="s">
        <v>136</v>
      </c>
      <c r="D578" s="315">
        <v>0</v>
      </c>
      <c r="E578" s="315">
        <v>0</v>
      </c>
      <c r="F578" s="315">
        <v>0</v>
      </c>
      <c r="G578" s="315">
        <v>0</v>
      </c>
      <c r="H578" s="315">
        <v>0</v>
      </c>
      <c r="I578" s="315">
        <v>0</v>
      </c>
      <c r="J578" s="315">
        <v>0</v>
      </c>
      <c r="K578" s="315">
        <v>0</v>
      </c>
      <c r="L578" s="315">
        <v>0</v>
      </c>
      <c r="M578" s="315">
        <v>0</v>
      </c>
      <c r="N578" s="232">
        <v>0</v>
      </c>
      <c r="O578" s="232"/>
      <c r="P578" s="233"/>
    </row>
    <row r="579" spans="1:16">
      <c r="A579" s="224"/>
      <c r="B579" s="231" t="s">
        <v>173</v>
      </c>
      <c r="C579" s="171" t="s">
        <v>102</v>
      </c>
      <c r="D579" s="315">
        <v>0</v>
      </c>
      <c r="E579" s="315">
        <v>0</v>
      </c>
      <c r="F579" s="315">
        <v>0</v>
      </c>
      <c r="G579" s="315">
        <v>0</v>
      </c>
      <c r="H579" s="315">
        <v>0</v>
      </c>
      <c r="I579" s="315">
        <v>0</v>
      </c>
      <c r="J579" s="315">
        <v>0</v>
      </c>
      <c r="K579" s="315">
        <v>0</v>
      </c>
      <c r="L579" s="315">
        <v>0</v>
      </c>
      <c r="M579" s="315">
        <v>0</v>
      </c>
      <c r="N579" s="232">
        <v>0</v>
      </c>
      <c r="O579" s="232"/>
      <c r="P579" s="233"/>
    </row>
    <row r="580" spans="1:16">
      <c r="A580" s="224"/>
      <c r="B580" s="231"/>
      <c r="C580" s="171" t="s">
        <v>98</v>
      </c>
      <c r="D580" s="315">
        <v>0</v>
      </c>
      <c r="E580" s="315">
        <v>0</v>
      </c>
      <c r="F580" s="315">
        <v>0</v>
      </c>
      <c r="G580" s="315">
        <v>0</v>
      </c>
      <c r="H580" s="315">
        <v>0</v>
      </c>
      <c r="I580" s="315">
        <v>0</v>
      </c>
      <c r="J580" s="315">
        <v>0</v>
      </c>
      <c r="K580" s="315">
        <v>0</v>
      </c>
      <c r="L580" s="315">
        <v>0</v>
      </c>
      <c r="M580" s="315">
        <v>0</v>
      </c>
      <c r="N580" s="232">
        <v>0</v>
      </c>
      <c r="O580" s="232"/>
      <c r="P580" s="233"/>
    </row>
    <row r="581" spans="1:16">
      <c r="A581" s="224"/>
      <c r="B581" s="231"/>
      <c r="C581" s="171" t="s">
        <v>99</v>
      </c>
      <c r="D581" s="315">
        <v>0</v>
      </c>
      <c r="E581" s="315">
        <v>0</v>
      </c>
      <c r="F581" s="315">
        <v>0</v>
      </c>
      <c r="G581" s="315">
        <v>0</v>
      </c>
      <c r="H581" s="315">
        <v>0</v>
      </c>
      <c r="I581" s="315">
        <v>0</v>
      </c>
      <c r="J581" s="315">
        <v>0</v>
      </c>
      <c r="K581" s="315">
        <v>0</v>
      </c>
      <c r="L581" s="315">
        <v>0</v>
      </c>
      <c r="M581" s="315">
        <v>0</v>
      </c>
      <c r="N581" s="232">
        <v>0</v>
      </c>
      <c r="O581" s="232"/>
      <c r="P581" s="233"/>
    </row>
    <row r="582" spans="1:16">
      <c r="A582" s="224"/>
      <c r="B582" s="231"/>
      <c r="C582" s="171" t="s">
        <v>83</v>
      </c>
      <c r="D582" s="315">
        <v>0</v>
      </c>
      <c r="E582" s="315">
        <v>0</v>
      </c>
      <c r="F582" s="315">
        <v>0</v>
      </c>
      <c r="G582" s="315">
        <v>0</v>
      </c>
      <c r="H582" s="315">
        <v>0</v>
      </c>
      <c r="I582" s="315">
        <v>0</v>
      </c>
      <c r="J582" s="315">
        <v>0</v>
      </c>
      <c r="K582" s="315">
        <v>0</v>
      </c>
      <c r="L582" s="315">
        <v>0</v>
      </c>
      <c r="M582" s="315">
        <v>0</v>
      </c>
      <c r="N582" s="232">
        <v>0</v>
      </c>
      <c r="O582" s="232"/>
      <c r="P582" s="233"/>
    </row>
    <row r="583" spans="1:16">
      <c r="A583" s="224"/>
      <c r="B583" s="231"/>
      <c r="C583" s="171" t="s">
        <v>84</v>
      </c>
      <c r="D583" s="315">
        <v>0</v>
      </c>
      <c r="E583" s="315">
        <v>0</v>
      </c>
      <c r="F583" s="315">
        <v>0</v>
      </c>
      <c r="G583" s="315">
        <v>0</v>
      </c>
      <c r="H583" s="315">
        <v>0</v>
      </c>
      <c r="I583" s="315">
        <v>0</v>
      </c>
      <c r="J583" s="315">
        <v>0</v>
      </c>
      <c r="K583" s="315">
        <v>0</v>
      </c>
      <c r="L583" s="315">
        <v>0</v>
      </c>
      <c r="M583" s="315">
        <v>0</v>
      </c>
      <c r="N583" s="232">
        <v>0</v>
      </c>
      <c r="O583" s="232"/>
      <c r="P583" s="233"/>
    </row>
    <row r="584" spans="1:16">
      <c r="A584" s="224"/>
      <c r="B584" s="231"/>
      <c r="C584" s="171" t="s">
        <v>85</v>
      </c>
      <c r="D584" s="315">
        <v>0</v>
      </c>
      <c r="E584" s="315">
        <v>0</v>
      </c>
      <c r="F584" s="315">
        <v>0</v>
      </c>
      <c r="G584" s="315">
        <v>0</v>
      </c>
      <c r="H584" s="315">
        <v>0</v>
      </c>
      <c r="I584" s="315">
        <v>0</v>
      </c>
      <c r="J584" s="315">
        <v>0</v>
      </c>
      <c r="K584" s="315">
        <v>0</v>
      </c>
      <c r="L584" s="315">
        <v>0</v>
      </c>
      <c r="M584" s="315">
        <v>0</v>
      </c>
      <c r="N584" s="232">
        <v>0</v>
      </c>
      <c r="O584" s="232"/>
      <c r="P584" s="233"/>
    </row>
    <row r="585" spans="1:16">
      <c r="A585" s="224"/>
      <c r="B585" s="231"/>
      <c r="C585" s="171" t="s">
        <v>86</v>
      </c>
      <c r="D585" s="315">
        <v>0</v>
      </c>
      <c r="E585" s="315">
        <v>0</v>
      </c>
      <c r="F585" s="315">
        <v>0</v>
      </c>
      <c r="G585" s="315">
        <v>0</v>
      </c>
      <c r="H585" s="315">
        <v>0</v>
      </c>
      <c r="I585" s="315">
        <v>0</v>
      </c>
      <c r="J585" s="315">
        <v>0</v>
      </c>
      <c r="K585" s="315">
        <v>0</v>
      </c>
      <c r="L585" s="315">
        <v>0</v>
      </c>
      <c r="M585" s="315">
        <v>0</v>
      </c>
      <c r="N585" s="232">
        <v>0</v>
      </c>
      <c r="O585" s="232"/>
      <c r="P585" s="233"/>
    </row>
    <row r="586" spans="1:16">
      <c r="A586" s="224"/>
      <c r="B586" s="231"/>
      <c r="C586" s="171" t="s">
        <v>87</v>
      </c>
      <c r="D586" s="315">
        <v>0</v>
      </c>
      <c r="E586" s="315">
        <v>0</v>
      </c>
      <c r="F586" s="315">
        <v>0</v>
      </c>
      <c r="G586" s="315">
        <v>0</v>
      </c>
      <c r="H586" s="315">
        <v>0</v>
      </c>
      <c r="I586" s="315">
        <v>0</v>
      </c>
      <c r="J586" s="315">
        <v>0</v>
      </c>
      <c r="K586" s="315">
        <v>0</v>
      </c>
      <c r="L586" s="315">
        <v>0</v>
      </c>
      <c r="M586" s="315">
        <v>0</v>
      </c>
      <c r="N586" s="232">
        <v>0</v>
      </c>
      <c r="O586" s="232"/>
      <c r="P586" s="233"/>
    </row>
    <row r="587" spans="1:16">
      <c r="A587" s="224"/>
      <c r="B587" s="231"/>
      <c r="C587" s="171" t="s">
        <v>88</v>
      </c>
      <c r="D587" s="315">
        <v>0</v>
      </c>
      <c r="E587" s="315">
        <v>0</v>
      </c>
      <c r="F587" s="315">
        <v>0</v>
      </c>
      <c r="G587" s="315">
        <v>0</v>
      </c>
      <c r="H587" s="315">
        <v>0</v>
      </c>
      <c r="I587" s="315">
        <v>0</v>
      </c>
      <c r="J587" s="315">
        <v>0</v>
      </c>
      <c r="K587" s="315">
        <v>0</v>
      </c>
      <c r="L587" s="315">
        <v>0</v>
      </c>
      <c r="M587" s="315">
        <v>0</v>
      </c>
      <c r="N587" s="232">
        <v>0</v>
      </c>
      <c r="O587" s="232"/>
      <c r="P587" s="233"/>
    </row>
    <row r="588" spans="1:16">
      <c r="A588" s="224"/>
      <c r="B588" s="231"/>
      <c r="C588" s="171" t="s">
        <v>89</v>
      </c>
      <c r="D588" s="315">
        <v>0</v>
      </c>
      <c r="E588" s="315">
        <v>0</v>
      </c>
      <c r="F588" s="315">
        <v>0</v>
      </c>
      <c r="G588" s="315">
        <v>0</v>
      </c>
      <c r="H588" s="315">
        <v>0</v>
      </c>
      <c r="I588" s="315">
        <v>0</v>
      </c>
      <c r="J588" s="315">
        <v>0</v>
      </c>
      <c r="K588" s="315">
        <v>0</v>
      </c>
      <c r="L588" s="315">
        <v>0</v>
      </c>
      <c r="M588" s="315">
        <v>0</v>
      </c>
      <c r="N588" s="232">
        <v>0</v>
      </c>
      <c r="O588" s="232"/>
      <c r="P588" s="233"/>
    </row>
    <row r="589" spans="1:16">
      <c r="A589" s="224"/>
      <c r="B589" s="231"/>
      <c r="C589" s="171" t="s">
        <v>90</v>
      </c>
      <c r="D589" s="315">
        <v>0</v>
      </c>
      <c r="E589" s="315">
        <v>0</v>
      </c>
      <c r="F589" s="315">
        <v>0</v>
      </c>
      <c r="G589" s="315">
        <v>0</v>
      </c>
      <c r="H589" s="315">
        <v>0</v>
      </c>
      <c r="I589" s="315">
        <v>0</v>
      </c>
      <c r="J589" s="315">
        <v>0</v>
      </c>
      <c r="K589" s="315">
        <v>0</v>
      </c>
      <c r="L589" s="315">
        <v>0</v>
      </c>
      <c r="M589" s="315">
        <v>0</v>
      </c>
      <c r="N589" s="232">
        <v>0</v>
      </c>
      <c r="O589" s="232"/>
      <c r="P589" s="233"/>
    </row>
    <row r="590" spans="1:16">
      <c r="A590" s="224"/>
      <c r="B590" s="231"/>
      <c r="C590" s="171" t="s">
        <v>91</v>
      </c>
      <c r="D590" s="315">
        <v>0</v>
      </c>
      <c r="E590" s="315">
        <v>0</v>
      </c>
      <c r="F590" s="315">
        <v>0</v>
      </c>
      <c r="G590" s="315">
        <v>0</v>
      </c>
      <c r="H590" s="315">
        <v>0</v>
      </c>
      <c r="I590" s="315">
        <v>0</v>
      </c>
      <c r="J590" s="315">
        <v>0</v>
      </c>
      <c r="K590" s="315">
        <v>0</v>
      </c>
      <c r="L590" s="315">
        <v>0</v>
      </c>
      <c r="M590" s="315">
        <v>0</v>
      </c>
      <c r="N590" s="232">
        <v>0</v>
      </c>
      <c r="O590" s="232"/>
      <c r="P590" s="233"/>
    </row>
    <row r="591" spans="1:16">
      <c r="A591" s="224"/>
      <c r="B591" s="231"/>
      <c r="C591" s="171" t="s">
        <v>92</v>
      </c>
      <c r="D591" s="315">
        <v>0</v>
      </c>
      <c r="E591" s="315">
        <v>0</v>
      </c>
      <c r="F591" s="315">
        <v>0</v>
      </c>
      <c r="G591" s="315">
        <v>0</v>
      </c>
      <c r="H591" s="315">
        <v>0</v>
      </c>
      <c r="I591" s="315">
        <v>0</v>
      </c>
      <c r="J591" s="315">
        <v>0</v>
      </c>
      <c r="K591" s="315">
        <v>0</v>
      </c>
      <c r="L591" s="315">
        <v>0</v>
      </c>
      <c r="M591" s="315">
        <v>0</v>
      </c>
      <c r="N591" s="232">
        <v>0</v>
      </c>
      <c r="O591" s="232"/>
      <c r="P591" s="233"/>
    </row>
    <row r="592" spans="1:16">
      <c r="A592" s="224"/>
      <c r="B592" s="231"/>
      <c r="C592" s="171" t="s">
        <v>95</v>
      </c>
      <c r="D592" s="315">
        <v>0</v>
      </c>
      <c r="E592" s="315">
        <v>0</v>
      </c>
      <c r="F592" s="315">
        <v>0</v>
      </c>
      <c r="G592" s="315">
        <v>0</v>
      </c>
      <c r="H592" s="315">
        <v>0</v>
      </c>
      <c r="I592" s="315">
        <v>0</v>
      </c>
      <c r="J592" s="315">
        <v>0</v>
      </c>
      <c r="K592" s="315">
        <v>0</v>
      </c>
      <c r="L592" s="315">
        <v>0</v>
      </c>
      <c r="M592" s="315">
        <v>0</v>
      </c>
      <c r="N592" s="232">
        <v>0</v>
      </c>
      <c r="O592" s="232"/>
      <c r="P592" s="233"/>
    </row>
    <row r="593" spans="1:16">
      <c r="A593" s="224"/>
      <c r="B593" s="231"/>
      <c r="C593" s="171" t="s">
        <v>96</v>
      </c>
      <c r="D593" s="315">
        <v>0</v>
      </c>
      <c r="E593" s="315">
        <v>0</v>
      </c>
      <c r="F593" s="315">
        <v>0</v>
      </c>
      <c r="G593" s="315">
        <v>0</v>
      </c>
      <c r="H593" s="315">
        <v>0</v>
      </c>
      <c r="I593" s="315">
        <v>0</v>
      </c>
      <c r="J593" s="315">
        <v>0</v>
      </c>
      <c r="K593" s="315">
        <v>0</v>
      </c>
      <c r="L593" s="315">
        <v>0</v>
      </c>
      <c r="M593" s="315">
        <v>0</v>
      </c>
      <c r="N593" s="232">
        <v>0</v>
      </c>
      <c r="O593" s="232"/>
      <c r="P593" s="233"/>
    </row>
    <row r="594" spans="1:16">
      <c r="A594" s="224"/>
      <c r="B594" s="231"/>
      <c r="C594" s="171" t="s">
        <v>93</v>
      </c>
      <c r="D594" s="315">
        <v>0</v>
      </c>
      <c r="E594" s="315">
        <v>0</v>
      </c>
      <c r="F594" s="315">
        <v>0</v>
      </c>
      <c r="G594" s="315">
        <v>0</v>
      </c>
      <c r="H594" s="315">
        <v>0</v>
      </c>
      <c r="I594" s="315">
        <v>0</v>
      </c>
      <c r="J594" s="315">
        <v>0</v>
      </c>
      <c r="K594" s="315">
        <v>0</v>
      </c>
      <c r="L594" s="315">
        <v>0</v>
      </c>
      <c r="M594" s="315">
        <v>0</v>
      </c>
      <c r="N594" s="232">
        <v>0</v>
      </c>
      <c r="O594" s="232"/>
      <c r="P594" s="233"/>
    </row>
    <row r="595" spans="1:16">
      <c r="A595" s="224"/>
      <c r="B595" s="231"/>
      <c r="C595" s="171" t="s">
        <v>97</v>
      </c>
      <c r="D595" s="315">
        <v>0</v>
      </c>
      <c r="E595" s="315">
        <v>0</v>
      </c>
      <c r="F595" s="315">
        <v>0</v>
      </c>
      <c r="G595" s="315">
        <v>0</v>
      </c>
      <c r="H595" s="315">
        <v>0</v>
      </c>
      <c r="I595" s="315">
        <v>0</v>
      </c>
      <c r="J595" s="315">
        <v>0</v>
      </c>
      <c r="K595" s="315">
        <v>0</v>
      </c>
      <c r="L595" s="315">
        <v>0</v>
      </c>
      <c r="M595" s="315">
        <v>0</v>
      </c>
      <c r="N595" s="232">
        <v>0</v>
      </c>
      <c r="O595" s="232"/>
      <c r="P595" s="233"/>
    </row>
    <row r="596" spans="1:16">
      <c r="A596" s="224"/>
      <c r="B596" s="234"/>
      <c r="C596" s="229" t="s">
        <v>136</v>
      </c>
      <c r="D596" s="316">
        <v>0</v>
      </c>
      <c r="E596" s="316">
        <v>0</v>
      </c>
      <c r="F596" s="316">
        <v>0</v>
      </c>
      <c r="G596" s="316">
        <v>0</v>
      </c>
      <c r="H596" s="316">
        <v>0</v>
      </c>
      <c r="I596" s="316">
        <v>0</v>
      </c>
      <c r="J596" s="316">
        <v>0</v>
      </c>
      <c r="K596" s="316">
        <v>0</v>
      </c>
      <c r="L596" s="316">
        <v>0</v>
      </c>
      <c r="M596" s="316">
        <v>0</v>
      </c>
      <c r="N596" s="235">
        <v>0</v>
      </c>
      <c r="O596" s="235"/>
      <c r="P596" s="236"/>
    </row>
  </sheetData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596"/>
  <sheetViews>
    <sheetView zoomScale="80" zoomScaleNormal="80" workbookViewId="0">
      <selection activeCell="P285" sqref="P285"/>
    </sheetView>
  </sheetViews>
  <sheetFormatPr defaultRowHeight="12.75"/>
  <cols>
    <col min="1" max="1" width="3.5" style="4" customWidth="1"/>
    <col min="2" max="2" width="8.25" style="4" customWidth="1"/>
    <col min="3" max="5" width="10" style="4" bestFit="1" customWidth="1"/>
    <col min="6" max="6" width="11" style="4" bestFit="1" customWidth="1"/>
    <col min="7" max="7" width="9.125" style="4" bestFit="1" customWidth="1"/>
    <col min="8" max="8" width="10" style="4" bestFit="1" customWidth="1"/>
    <col min="9" max="9" width="9.375" style="4" customWidth="1"/>
    <col min="10" max="10" width="9.25" style="4" customWidth="1"/>
    <col min="11" max="11" width="10" style="4" bestFit="1" customWidth="1"/>
    <col min="12" max="12" width="9" style="4"/>
    <col min="13" max="14" width="9" style="33"/>
    <col min="15" max="15" width="9" style="25"/>
    <col min="16" max="16384" width="9" style="4"/>
  </cols>
  <sheetData>
    <row r="1" spans="2:15">
      <c r="B1" s="105" t="s">
        <v>182</v>
      </c>
      <c r="C1" s="326" t="s">
        <v>193</v>
      </c>
      <c r="F1" s="9"/>
      <c r="G1" s="9"/>
      <c r="H1" s="9"/>
    </row>
    <row r="2" spans="2:15">
      <c r="F2" s="9"/>
      <c r="G2" s="9"/>
      <c r="H2" s="9"/>
    </row>
    <row r="3" spans="2:15" s="65" customFormat="1">
      <c r="B3" s="8" t="s">
        <v>139</v>
      </c>
      <c r="C3" s="66"/>
      <c r="F3" s="167"/>
      <c r="G3" s="167"/>
      <c r="H3" s="167"/>
      <c r="M3" s="75"/>
      <c r="N3" s="75"/>
      <c r="O3" s="72"/>
    </row>
    <row r="4" spans="2:15" s="65" customFormat="1">
      <c r="B4" s="67"/>
      <c r="C4" s="68"/>
      <c r="F4" s="167"/>
      <c r="G4" s="167"/>
      <c r="H4" s="167"/>
      <c r="M4" s="75"/>
      <c r="N4" s="75"/>
      <c r="O4" s="72"/>
    </row>
    <row r="5" spans="2:15" s="65" customFormat="1">
      <c r="B5" s="135">
        <v>1998</v>
      </c>
      <c r="C5" s="127"/>
      <c r="F5" s="167"/>
      <c r="G5" s="167"/>
      <c r="H5" s="167"/>
      <c r="M5" s="75"/>
      <c r="N5" s="75"/>
      <c r="O5" s="72"/>
    </row>
    <row r="6" spans="2:15" s="65" customFormat="1">
      <c r="B6" s="136">
        <v>1999</v>
      </c>
      <c r="C6" s="127"/>
      <c r="E6" s="99"/>
      <c r="F6" s="99"/>
      <c r="G6" s="167" t="s">
        <v>174</v>
      </c>
      <c r="H6" s="167"/>
      <c r="M6" s="75"/>
      <c r="N6" s="75"/>
      <c r="O6" s="72"/>
    </row>
    <row r="7" spans="2:15" s="65" customFormat="1">
      <c r="B7" s="135">
        <v>2000</v>
      </c>
      <c r="C7" s="127"/>
      <c r="F7" s="167"/>
      <c r="G7" s="167"/>
      <c r="H7" s="167"/>
      <c r="M7" s="75"/>
      <c r="N7" s="75"/>
      <c r="O7" s="72"/>
    </row>
    <row r="8" spans="2:15" s="65" customFormat="1">
      <c r="B8" s="136">
        <v>2001</v>
      </c>
      <c r="C8" s="127"/>
      <c r="F8" s="167"/>
      <c r="G8" s="167"/>
      <c r="H8" s="167"/>
      <c r="M8" s="75"/>
      <c r="N8" s="75"/>
      <c r="O8" s="72"/>
    </row>
    <row r="9" spans="2:15" s="65" customFormat="1">
      <c r="B9" s="135">
        <v>2002</v>
      </c>
      <c r="C9" s="127"/>
      <c r="F9" s="167"/>
      <c r="G9" s="167"/>
      <c r="H9" s="167"/>
      <c r="M9" s="75"/>
      <c r="N9" s="75"/>
      <c r="O9" s="72"/>
    </row>
    <row r="10" spans="2:15" s="65" customFormat="1">
      <c r="B10" s="136">
        <v>2003</v>
      </c>
      <c r="C10" s="127"/>
      <c r="F10" s="167"/>
      <c r="G10" s="167"/>
      <c r="H10" s="167"/>
      <c r="M10" s="75"/>
      <c r="N10" s="75"/>
      <c r="O10" s="72"/>
    </row>
    <row r="11" spans="2:15" s="65" customFormat="1">
      <c r="B11" s="135">
        <v>2004</v>
      </c>
      <c r="C11" s="127"/>
      <c r="F11" s="167"/>
      <c r="G11" s="167"/>
      <c r="H11" s="167"/>
      <c r="M11" s="75"/>
      <c r="N11" s="75"/>
      <c r="O11" s="72"/>
    </row>
    <row r="12" spans="2:15" s="65" customFormat="1">
      <c r="B12" s="136">
        <v>2005</v>
      </c>
      <c r="C12" s="127"/>
      <c r="F12" s="167"/>
      <c r="G12" s="167"/>
      <c r="H12" s="167"/>
      <c r="M12" s="75"/>
      <c r="N12" s="75"/>
      <c r="O12" s="72"/>
    </row>
    <row r="13" spans="2:15" s="65" customFormat="1">
      <c r="B13" s="135">
        <v>2006</v>
      </c>
      <c r="C13" s="127"/>
      <c r="F13" s="167"/>
      <c r="G13" s="167"/>
      <c r="H13" s="167"/>
      <c r="M13" s="75"/>
      <c r="N13" s="75"/>
      <c r="O13" s="72"/>
    </row>
    <row r="14" spans="2:15" s="65" customFormat="1">
      <c r="B14" s="136">
        <v>2007</v>
      </c>
      <c r="C14" s="127"/>
      <c r="F14" s="167"/>
      <c r="G14" s="167"/>
      <c r="H14" s="167"/>
      <c r="M14" s="75"/>
      <c r="N14" s="75"/>
      <c r="O14" s="72"/>
    </row>
    <row r="15" spans="2:15" s="65" customFormat="1">
      <c r="B15" s="135">
        <v>2008</v>
      </c>
      <c r="C15" s="127"/>
      <c r="F15" s="167"/>
      <c r="G15" s="167"/>
      <c r="H15" s="167"/>
      <c r="M15" s="75"/>
      <c r="N15" s="75"/>
      <c r="O15" s="72"/>
    </row>
    <row r="16" spans="2:15" s="65" customFormat="1">
      <c r="B16" s="136">
        <v>2009</v>
      </c>
      <c r="C16" s="127"/>
      <c r="F16" s="167"/>
      <c r="G16" s="167"/>
      <c r="H16" s="167"/>
      <c r="M16" s="75"/>
      <c r="N16" s="75"/>
      <c r="O16" s="72"/>
    </row>
    <row r="17" spans="2:16" s="65" customFormat="1">
      <c r="B17" s="135">
        <v>2010</v>
      </c>
      <c r="C17" s="127"/>
      <c r="F17" s="167"/>
      <c r="G17" s="167"/>
      <c r="H17" s="167"/>
      <c r="M17" s="75"/>
      <c r="N17" s="75"/>
      <c r="O17" s="72"/>
    </row>
    <row r="18" spans="2:16" s="65" customFormat="1">
      <c r="B18" s="135">
        <v>2011</v>
      </c>
      <c r="C18" s="127"/>
      <c r="F18" s="167"/>
      <c r="G18" s="167"/>
      <c r="H18" s="167"/>
      <c r="M18" s="75"/>
      <c r="N18" s="75"/>
      <c r="O18" s="72"/>
    </row>
    <row r="19" spans="2:16" s="65" customFormat="1">
      <c r="B19" s="149">
        <v>2012</v>
      </c>
      <c r="C19" s="327">
        <v>4141244.8</v>
      </c>
      <c r="F19" s="167"/>
      <c r="G19" s="167"/>
      <c r="H19" s="167"/>
      <c r="M19" s="75"/>
      <c r="N19" s="75"/>
      <c r="O19" s="72"/>
    </row>
    <row r="20" spans="2:16" s="65" customFormat="1">
      <c r="B20" s="107"/>
      <c r="C20" s="150"/>
      <c r="F20" s="167"/>
      <c r="G20" s="167"/>
      <c r="H20" s="167"/>
      <c r="M20" s="75"/>
      <c r="N20" s="75"/>
      <c r="O20" s="72"/>
    </row>
    <row r="21" spans="2:16" s="65" customFormat="1">
      <c r="B21" s="108"/>
      <c r="C21" s="109"/>
      <c r="F21" s="167"/>
      <c r="G21" s="167"/>
      <c r="H21" s="167"/>
      <c r="M21" s="75"/>
      <c r="N21" s="75"/>
      <c r="O21" s="72"/>
    </row>
    <row r="22" spans="2:16" s="65" customFormat="1">
      <c r="F22" s="167"/>
      <c r="G22" s="167"/>
      <c r="H22" s="167"/>
      <c r="K22" s="110"/>
      <c r="M22" s="75"/>
      <c r="N22" s="75"/>
      <c r="O22" s="72"/>
    </row>
    <row r="23" spans="2:16" s="65" customFormat="1">
      <c r="F23" s="167"/>
      <c r="G23" s="167"/>
      <c r="H23" s="167"/>
      <c r="M23" s="75"/>
      <c r="N23" s="75"/>
      <c r="O23" s="72"/>
    </row>
    <row r="24" spans="2:16" s="65" customFormat="1">
      <c r="B24" s="8" t="s">
        <v>146</v>
      </c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154"/>
      <c r="N24" s="154"/>
      <c r="O24" s="74"/>
    </row>
    <row r="25" spans="2:16" s="65" customFormat="1">
      <c r="B25" s="67"/>
      <c r="M25" s="75"/>
      <c r="N25" s="75"/>
      <c r="O25" s="103"/>
    </row>
    <row r="26" spans="2:16" s="65" customFormat="1">
      <c r="B26" s="67"/>
      <c r="C26" s="162">
        <v>2002</v>
      </c>
      <c r="D26" s="162">
        <v>2003</v>
      </c>
      <c r="E26" s="162">
        <v>2004</v>
      </c>
      <c r="F26" s="162">
        <v>2005</v>
      </c>
      <c r="G26" s="162">
        <v>2006</v>
      </c>
      <c r="H26" s="162">
        <v>2007</v>
      </c>
      <c r="I26" s="162">
        <v>2008</v>
      </c>
      <c r="J26" s="162">
        <v>2009</v>
      </c>
      <c r="K26" s="162">
        <v>2010</v>
      </c>
      <c r="L26" s="162">
        <v>2011</v>
      </c>
      <c r="M26" s="152">
        <v>2012</v>
      </c>
      <c r="N26" s="155"/>
      <c r="O26" s="112"/>
    </row>
    <row r="27" spans="2:16" s="65" customFormat="1">
      <c r="B27" s="67" t="s">
        <v>140</v>
      </c>
      <c r="C27" s="137"/>
      <c r="D27" s="137"/>
      <c r="E27" s="125"/>
      <c r="F27" s="125"/>
      <c r="G27" s="125"/>
      <c r="H27" s="125"/>
      <c r="I27" s="125"/>
      <c r="J27" s="125"/>
      <c r="K27" s="125"/>
      <c r="L27" s="125"/>
      <c r="M27" s="329">
        <v>4141244.8</v>
      </c>
      <c r="N27" s="75"/>
      <c r="O27" s="103"/>
    </row>
    <row r="28" spans="2:16" s="65" customFormat="1">
      <c r="B28" s="67" t="s">
        <v>141</v>
      </c>
      <c r="C28" s="78"/>
      <c r="D28" s="78"/>
      <c r="E28" s="78"/>
      <c r="F28" s="78"/>
      <c r="G28" s="78"/>
      <c r="H28" s="78"/>
      <c r="I28" s="125"/>
      <c r="J28" s="125"/>
      <c r="K28" s="125"/>
      <c r="L28" s="78"/>
      <c r="M28" s="329">
        <v>3764768</v>
      </c>
      <c r="N28" s="75"/>
      <c r="O28" s="116"/>
      <c r="P28" s="102"/>
    </row>
    <row r="29" spans="2:16" s="65" customFormat="1">
      <c r="B29" s="117" t="s">
        <v>142</v>
      </c>
      <c r="C29" s="78"/>
      <c r="D29" s="78"/>
      <c r="E29" s="78"/>
      <c r="F29" s="78"/>
      <c r="G29" s="78"/>
      <c r="H29" s="78"/>
      <c r="I29" s="125"/>
      <c r="J29" s="125"/>
      <c r="K29" s="125"/>
      <c r="L29" s="78"/>
      <c r="M29" s="329">
        <v>2917695.1999999997</v>
      </c>
      <c r="N29" s="75"/>
      <c r="O29" s="116"/>
      <c r="P29" s="102"/>
    </row>
    <row r="30" spans="2:16" s="65" customFormat="1">
      <c r="B30" s="118" t="s">
        <v>143</v>
      </c>
      <c r="C30" s="126"/>
      <c r="D30" s="126"/>
      <c r="E30" s="126"/>
      <c r="F30" s="126"/>
      <c r="G30" s="126"/>
      <c r="H30" s="126"/>
      <c r="I30" s="125"/>
      <c r="J30" s="125"/>
      <c r="K30" s="125"/>
      <c r="L30" s="125"/>
      <c r="M30" s="329">
        <v>1600026.4</v>
      </c>
      <c r="N30" s="165"/>
      <c r="O30" s="103"/>
      <c r="P30" s="102"/>
    </row>
    <row r="31" spans="2:16" s="65" customFormat="1">
      <c r="B31" s="118" t="s">
        <v>83</v>
      </c>
      <c r="C31" s="126"/>
      <c r="D31" s="126"/>
      <c r="E31" s="126"/>
      <c r="F31" s="126"/>
      <c r="G31" s="126"/>
      <c r="H31" s="126"/>
      <c r="I31" s="125"/>
      <c r="J31" s="125"/>
      <c r="K31" s="125"/>
      <c r="L31" s="125"/>
      <c r="M31" s="329">
        <v>1129430.3999999999</v>
      </c>
      <c r="N31" s="165"/>
      <c r="O31" s="103"/>
    </row>
    <row r="32" spans="2:16" s="65" customFormat="1">
      <c r="B32" s="118" t="s">
        <v>84</v>
      </c>
      <c r="C32" s="126"/>
      <c r="D32" s="126"/>
      <c r="E32" s="126"/>
      <c r="F32" s="126"/>
      <c r="G32" s="126"/>
      <c r="H32" s="126"/>
      <c r="I32" s="125"/>
      <c r="J32" s="125"/>
      <c r="K32" s="125"/>
      <c r="L32" s="125"/>
      <c r="M32" s="329">
        <v>941192</v>
      </c>
      <c r="N32" s="165"/>
      <c r="O32" s="103"/>
    </row>
    <row r="33" spans="2:16" s="65" customFormat="1">
      <c r="B33" s="118" t="s">
        <v>85</v>
      </c>
      <c r="C33" s="126"/>
      <c r="D33" s="126"/>
      <c r="E33" s="126"/>
      <c r="F33" s="126"/>
      <c r="G33" s="126"/>
      <c r="H33" s="126"/>
      <c r="I33" s="125"/>
      <c r="J33" s="125"/>
      <c r="K33" s="125"/>
      <c r="L33" s="125"/>
      <c r="M33" s="329">
        <v>752953.6</v>
      </c>
      <c r="N33" s="165"/>
      <c r="O33" s="103"/>
    </row>
    <row r="34" spans="2:16" s="65" customFormat="1">
      <c r="B34" s="118" t="s">
        <v>86</v>
      </c>
      <c r="C34" s="126"/>
      <c r="D34" s="126"/>
      <c r="E34" s="126"/>
      <c r="F34" s="126"/>
      <c r="G34" s="126"/>
      <c r="H34" s="126"/>
      <c r="I34" s="125"/>
      <c r="J34" s="125"/>
      <c r="K34" s="125"/>
      <c r="L34" s="125"/>
      <c r="M34" s="329">
        <v>611774.80000000005</v>
      </c>
      <c r="N34" s="165"/>
      <c r="O34" s="103"/>
    </row>
    <row r="35" spans="2:16" s="65" customFormat="1">
      <c r="B35" s="118" t="s">
        <v>87</v>
      </c>
      <c r="C35" s="126"/>
      <c r="D35" s="126"/>
      <c r="E35" s="126"/>
      <c r="F35" s="126"/>
      <c r="G35" s="126"/>
      <c r="H35" s="126"/>
      <c r="I35" s="125"/>
      <c r="J35" s="125"/>
      <c r="K35" s="125"/>
      <c r="L35" s="125"/>
      <c r="M35" s="329">
        <v>451772.15999999997</v>
      </c>
      <c r="N35" s="165"/>
      <c r="O35" s="103"/>
    </row>
    <row r="36" spans="2:16" s="65" customFormat="1">
      <c r="B36" s="118" t="s">
        <v>88</v>
      </c>
      <c r="C36" s="126"/>
      <c r="D36" s="126"/>
      <c r="E36" s="126"/>
      <c r="F36" s="126"/>
      <c r="G36" s="126"/>
      <c r="H36" s="126"/>
      <c r="I36" s="125"/>
      <c r="J36" s="125"/>
      <c r="K36" s="125"/>
      <c r="L36" s="125"/>
      <c r="M36" s="329">
        <v>367064.88</v>
      </c>
      <c r="N36" s="165"/>
      <c r="O36" s="103"/>
    </row>
    <row r="37" spans="2:16" s="65" customFormat="1">
      <c r="B37" s="118" t="s">
        <v>89</v>
      </c>
      <c r="C37" s="126"/>
      <c r="D37" s="126"/>
      <c r="E37" s="126"/>
      <c r="F37" s="126"/>
      <c r="G37" s="126"/>
      <c r="H37" s="126"/>
      <c r="I37" s="125"/>
      <c r="J37" s="125"/>
      <c r="K37" s="125"/>
      <c r="L37" s="125"/>
      <c r="M37" s="329">
        <v>263533.76</v>
      </c>
      <c r="N37" s="165"/>
      <c r="O37" s="103"/>
    </row>
    <row r="38" spans="2:16" s="65" customFormat="1">
      <c r="B38" s="118" t="s">
        <v>90</v>
      </c>
      <c r="C38" s="126"/>
      <c r="D38" s="126"/>
      <c r="E38" s="126"/>
      <c r="F38" s="126"/>
      <c r="G38" s="126"/>
      <c r="H38" s="126"/>
      <c r="I38" s="125"/>
      <c r="J38" s="125"/>
      <c r="K38" s="125"/>
      <c r="L38" s="125"/>
      <c r="M38" s="329">
        <v>207062.24</v>
      </c>
      <c r="N38" s="165"/>
      <c r="O38" s="103"/>
    </row>
    <row r="39" spans="2:16" s="65" customFormat="1">
      <c r="B39" s="118" t="s">
        <v>91</v>
      </c>
      <c r="C39" s="126"/>
      <c r="D39" s="126"/>
      <c r="E39" s="126"/>
      <c r="F39" s="126"/>
      <c r="G39" s="126"/>
      <c r="H39" s="126"/>
      <c r="I39" s="125"/>
      <c r="J39" s="125"/>
      <c r="K39" s="125"/>
      <c r="L39" s="125"/>
      <c r="M39" s="329">
        <v>169414.56</v>
      </c>
      <c r="N39" s="165"/>
      <c r="O39" s="103"/>
      <c r="P39" s="166"/>
    </row>
    <row r="40" spans="2:16" s="65" customFormat="1">
      <c r="B40" s="118" t="s">
        <v>92</v>
      </c>
      <c r="C40" s="126"/>
      <c r="D40" s="126"/>
      <c r="E40" s="126"/>
      <c r="F40" s="126"/>
      <c r="G40" s="126"/>
      <c r="H40" s="126"/>
      <c r="I40" s="125"/>
      <c r="J40" s="125"/>
      <c r="K40" s="125"/>
      <c r="L40" s="125"/>
      <c r="M40" s="329">
        <v>112943.03999999999</v>
      </c>
      <c r="N40" s="165"/>
      <c r="O40" s="103"/>
    </row>
    <row r="41" spans="2:16" s="65" customFormat="1">
      <c r="B41" s="119" t="s">
        <v>95</v>
      </c>
      <c r="C41" s="126"/>
      <c r="D41" s="126"/>
      <c r="E41" s="126"/>
      <c r="F41" s="126"/>
      <c r="G41" s="126"/>
      <c r="H41" s="126"/>
      <c r="I41" s="125"/>
      <c r="J41" s="125"/>
      <c r="K41" s="125"/>
      <c r="L41" s="125"/>
      <c r="M41" s="329">
        <v>41412.447999999997</v>
      </c>
      <c r="N41" s="165"/>
      <c r="O41" s="120"/>
      <c r="P41" s="121"/>
    </row>
    <row r="42" spans="2:16" s="65" customFormat="1">
      <c r="B42" s="119" t="s">
        <v>96</v>
      </c>
      <c r="C42" s="126"/>
      <c r="D42" s="126"/>
      <c r="E42" s="126"/>
      <c r="F42" s="126"/>
      <c r="G42" s="126"/>
      <c r="H42" s="126"/>
      <c r="I42" s="125"/>
      <c r="J42" s="125"/>
      <c r="K42" s="125"/>
      <c r="L42" s="125"/>
      <c r="M42" s="329">
        <v>30118.144</v>
      </c>
      <c r="N42" s="75"/>
      <c r="O42" s="120"/>
      <c r="P42" s="121"/>
    </row>
    <row r="43" spans="2:16" s="65" customFormat="1">
      <c r="B43" s="119" t="s">
        <v>93</v>
      </c>
      <c r="C43" s="126"/>
      <c r="D43" s="126"/>
      <c r="E43" s="126"/>
      <c r="F43" s="126"/>
      <c r="G43" s="126"/>
      <c r="H43" s="126"/>
      <c r="I43" s="125"/>
      <c r="J43" s="125"/>
      <c r="K43" s="125"/>
      <c r="L43" s="125"/>
      <c r="M43" s="329">
        <v>22588.607999999997</v>
      </c>
      <c r="N43" s="75"/>
      <c r="O43" s="120"/>
      <c r="P43" s="121"/>
    </row>
    <row r="44" spans="2:16" s="65" customFormat="1">
      <c r="B44" s="119" t="s">
        <v>97</v>
      </c>
      <c r="C44" s="126"/>
      <c r="D44" s="126"/>
      <c r="E44" s="126"/>
      <c r="F44" s="126"/>
      <c r="G44" s="126"/>
      <c r="H44" s="126"/>
      <c r="I44" s="125"/>
      <c r="J44" s="125"/>
      <c r="K44" s="125"/>
      <c r="L44" s="125"/>
      <c r="M44" s="329">
        <v>17412.052</v>
      </c>
      <c r="N44" s="75"/>
      <c r="O44" s="120"/>
      <c r="P44" s="121"/>
    </row>
    <row r="45" spans="2:16" s="65" customFormat="1">
      <c r="B45" s="119" t="s">
        <v>144</v>
      </c>
      <c r="C45" s="126"/>
      <c r="D45" s="126"/>
      <c r="E45" s="126"/>
      <c r="F45" s="126"/>
      <c r="G45" s="126"/>
      <c r="H45" s="126"/>
      <c r="I45" s="78"/>
      <c r="J45" s="137"/>
      <c r="K45" s="137"/>
      <c r="L45" s="125"/>
      <c r="M45" s="329">
        <v>17882.647999999997</v>
      </c>
      <c r="N45" s="75"/>
      <c r="O45" s="120"/>
      <c r="P45" s="121"/>
    </row>
    <row r="46" spans="2:16" s="65" customFormat="1">
      <c r="B46" s="69" t="s">
        <v>94</v>
      </c>
      <c r="C46" s="122"/>
      <c r="D46" s="122"/>
      <c r="E46" s="122"/>
      <c r="F46" s="122"/>
      <c r="G46" s="122"/>
      <c r="H46" s="122"/>
      <c r="I46" s="138"/>
      <c r="J46" s="138"/>
      <c r="K46" s="138"/>
      <c r="L46" s="138"/>
      <c r="M46" s="153"/>
      <c r="N46" s="73"/>
      <c r="O46" s="123"/>
    </row>
    <row r="47" spans="2:16" s="167" customFormat="1">
      <c r="B47" s="65"/>
      <c r="C47" s="151"/>
      <c r="D47" s="151"/>
      <c r="E47" s="151"/>
      <c r="F47" s="151"/>
      <c r="G47" s="151"/>
      <c r="H47" s="151"/>
      <c r="I47" s="124"/>
      <c r="J47" s="124"/>
      <c r="K47" s="124"/>
      <c r="L47" s="163"/>
      <c r="M47" s="152"/>
      <c r="N47" s="152"/>
      <c r="O47" s="151"/>
    </row>
    <row r="48" spans="2:16" s="167" customFormat="1">
      <c r="B48" s="65"/>
      <c r="C48" s="151"/>
      <c r="D48" s="151"/>
      <c r="E48" s="151"/>
      <c r="F48" s="151"/>
      <c r="G48" s="151"/>
      <c r="H48" s="151"/>
      <c r="I48" s="124"/>
      <c r="J48" s="124"/>
      <c r="K48" s="124"/>
      <c r="L48" s="163"/>
      <c r="M48" s="152"/>
      <c r="N48" s="152"/>
      <c r="O48" s="151"/>
    </row>
    <row r="49" spans="2:15" s="9" customFormat="1">
      <c r="D49" s="22"/>
      <c r="E49" s="22"/>
      <c r="F49" s="22"/>
      <c r="G49" s="22"/>
      <c r="H49" s="22"/>
      <c r="I49" s="26"/>
      <c r="J49" s="26"/>
      <c r="K49" s="26"/>
      <c r="L49" s="22"/>
      <c r="M49" s="24"/>
      <c r="N49" s="24"/>
      <c r="O49" s="22"/>
    </row>
    <row r="50" spans="2:15" s="9" customFormat="1">
      <c r="D50" s="22"/>
      <c r="E50" s="22"/>
      <c r="F50" s="22"/>
      <c r="G50" s="22"/>
      <c r="H50" s="22"/>
      <c r="I50" s="26"/>
      <c r="J50" s="26"/>
      <c r="K50" s="26"/>
      <c r="L50" s="22"/>
      <c r="M50" s="24"/>
      <c r="N50" s="24"/>
      <c r="O50" s="22"/>
    </row>
    <row r="51" spans="2:15" s="9" customFormat="1">
      <c r="D51" s="22"/>
      <c r="E51" s="22"/>
      <c r="F51" s="22"/>
      <c r="G51" s="22"/>
      <c r="H51" s="22"/>
      <c r="I51" s="26"/>
      <c r="J51" s="26"/>
      <c r="K51" s="26"/>
      <c r="L51" s="22"/>
      <c r="M51" s="24"/>
      <c r="N51" s="24"/>
      <c r="O51" s="22"/>
    </row>
    <row r="52" spans="2:15" s="9" customFormat="1">
      <c r="D52" s="22"/>
      <c r="E52" s="22"/>
      <c r="F52" s="22"/>
      <c r="G52" s="22"/>
      <c r="H52" s="22"/>
      <c r="I52" s="26"/>
      <c r="J52" s="26"/>
      <c r="K52" s="26"/>
      <c r="L52" s="22"/>
      <c r="M52" s="24"/>
      <c r="N52" s="24"/>
      <c r="O52" s="22"/>
    </row>
    <row r="54" spans="2:15">
      <c r="B54" s="8" t="s">
        <v>147</v>
      </c>
      <c r="C54" s="6"/>
      <c r="D54" s="6"/>
      <c r="E54" s="6"/>
      <c r="F54" s="6"/>
      <c r="G54" s="6"/>
      <c r="H54" s="6"/>
      <c r="I54" s="6"/>
      <c r="J54" s="6"/>
      <c r="K54" s="6"/>
      <c r="L54" s="6"/>
      <c r="M54" s="156"/>
      <c r="N54" s="156"/>
      <c r="O54" s="37"/>
    </row>
    <row r="55" spans="2:15">
      <c r="B55" s="3"/>
      <c r="O55" s="23"/>
    </row>
    <row r="56" spans="2:15">
      <c r="B56" s="3"/>
      <c r="C56" s="25" t="s">
        <v>0</v>
      </c>
      <c r="D56" s="25" t="s">
        <v>1</v>
      </c>
      <c r="E56" s="25" t="s">
        <v>2</v>
      </c>
      <c r="F56" s="25" t="s">
        <v>3</v>
      </c>
      <c r="G56" s="25" t="s">
        <v>4</v>
      </c>
      <c r="H56" s="25" t="s">
        <v>5</v>
      </c>
      <c r="I56" s="25" t="s">
        <v>6</v>
      </c>
      <c r="J56" s="25" t="s">
        <v>7</v>
      </c>
      <c r="K56" s="25" t="s">
        <v>8</v>
      </c>
      <c r="L56" s="25">
        <v>2011</v>
      </c>
      <c r="M56" s="33">
        <v>2012</v>
      </c>
      <c r="N56" s="157"/>
      <c r="O56" s="96"/>
    </row>
    <row r="57" spans="2:15">
      <c r="B57" s="17" t="s">
        <v>102</v>
      </c>
      <c r="C57" s="237">
        <f t="shared" ref="C57:M57" si="0">C84+C111+C139+C165</f>
        <v>256615</v>
      </c>
      <c r="D57" s="237">
        <f t="shared" si="0"/>
        <v>171486</v>
      </c>
      <c r="E57" s="237">
        <f t="shared" si="0"/>
        <v>123592</v>
      </c>
      <c r="F57" s="237">
        <f t="shared" si="0"/>
        <v>19279</v>
      </c>
      <c r="G57" s="237">
        <f t="shared" si="0"/>
        <v>9401</v>
      </c>
      <c r="H57" s="237">
        <f t="shared" si="0"/>
        <v>3370</v>
      </c>
      <c r="I57" s="237">
        <f t="shared" si="0"/>
        <v>2546</v>
      </c>
      <c r="J57" s="237">
        <f t="shared" si="0"/>
        <v>1136</v>
      </c>
      <c r="K57" s="237">
        <f t="shared" si="0"/>
        <v>1653</v>
      </c>
      <c r="L57" s="237">
        <f t="shared" si="0"/>
        <v>1857</v>
      </c>
      <c r="M57" s="237">
        <f t="shared" si="0"/>
        <v>1559</v>
      </c>
      <c r="O57" s="23"/>
    </row>
    <row r="58" spans="2:15">
      <c r="B58" s="3" t="s">
        <v>98</v>
      </c>
      <c r="C58" s="237">
        <f t="shared" ref="C58:M58" si="1">C85+C112+C140+C166</f>
        <v>198700</v>
      </c>
      <c r="D58" s="237">
        <f t="shared" si="1"/>
        <v>202333</v>
      </c>
      <c r="E58" s="237">
        <f t="shared" si="1"/>
        <v>136677</v>
      </c>
      <c r="F58" s="237">
        <f t="shared" si="1"/>
        <v>100499</v>
      </c>
      <c r="G58" s="237">
        <f t="shared" si="1"/>
        <v>63662</v>
      </c>
      <c r="H58" s="237">
        <f t="shared" si="1"/>
        <v>21600</v>
      </c>
      <c r="I58" s="237">
        <f t="shared" si="1"/>
        <v>22154</v>
      </c>
      <c r="J58" s="237">
        <f t="shared" si="1"/>
        <v>6816</v>
      </c>
      <c r="K58" s="237">
        <f t="shared" si="1"/>
        <v>7312</v>
      </c>
      <c r="L58" s="237">
        <f t="shared" si="1"/>
        <v>6949</v>
      </c>
      <c r="M58" s="237">
        <f t="shared" si="1"/>
        <v>7067</v>
      </c>
      <c r="O58" s="23"/>
    </row>
    <row r="59" spans="2:15">
      <c r="B59" s="3" t="s">
        <v>99</v>
      </c>
      <c r="C59" s="237">
        <f t="shared" ref="C59:M59" si="2">C86+C113+C141+C167</f>
        <v>421108</v>
      </c>
      <c r="D59" s="237">
        <f t="shared" si="2"/>
        <v>201006</v>
      </c>
      <c r="E59" s="237">
        <f t="shared" si="2"/>
        <v>202638</v>
      </c>
      <c r="F59" s="237">
        <f t="shared" si="2"/>
        <v>193974</v>
      </c>
      <c r="G59" s="237">
        <f t="shared" si="2"/>
        <v>187676</v>
      </c>
      <c r="H59" s="237">
        <f t="shared" si="2"/>
        <v>179641</v>
      </c>
      <c r="I59" s="237">
        <f t="shared" si="2"/>
        <v>187367</v>
      </c>
      <c r="J59" s="237">
        <f t="shared" si="2"/>
        <v>10472</v>
      </c>
      <c r="K59" s="237">
        <f t="shared" si="2"/>
        <v>10416</v>
      </c>
      <c r="L59" s="237">
        <f t="shared" si="2"/>
        <v>9981</v>
      </c>
      <c r="M59" s="237">
        <f t="shared" si="2"/>
        <v>9828</v>
      </c>
      <c r="O59" s="23"/>
    </row>
    <row r="60" spans="2:15">
      <c r="B60" s="3" t="s">
        <v>83</v>
      </c>
      <c r="C60" s="237">
        <f t="shared" ref="C60:M60" si="3">C87+C114+C142+C168</f>
        <v>320287</v>
      </c>
      <c r="D60" s="237">
        <f t="shared" si="3"/>
        <v>356449</v>
      </c>
      <c r="E60" s="237">
        <f t="shared" si="3"/>
        <v>347786</v>
      </c>
      <c r="F60" s="237">
        <f t="shared" si="3"/>
        <v>319205</v>
      </c>
      <c r="G60" s="237">
        <f t="shared" si="3"/>
        <v>302962</v>
      </c>
      <c r="H60" s="237">
        <f t="shared" si="3"/>
        <v>288903</v>
      </c>
      <c r="I60" s="237">
        <f t="shared" si="3"/>
        <v>304577</v>
      </c>
      <c r="J60" s="237">
        <f t="shared" si="3"/>
        <v>19398</v>
      </c>
      <c r="K60" s="237">
        <f t="shared" si="3"/>
        <v>20202</v>
      </c>
      <c r="L60" s="237">
        <f t="shared" si="3"/>
        <v>19415</v>
      </c>
      <c r="M60" s="237">
        <f t="shared" si="3"/>
        <v>19044</v>
      </c>
      <c r="O60" s="23"/>
    </row>
    <row r="61" spans="2:15">
      <c r="B61" s="3" t="s">
        <v>84</v>
      </c>
      <c r="C61" s="237">
        <f t="shared" ref="C61:M61" si="4">C88+C115+C143+C169</f>
        <v>226649</v>
      </c>
      <c r="D61" s="237">
        <f t="shared" si="4"/>
        <v>264080</v>
      </c>
      <c r="E61" s="237">
        <f t="shared" si="4"/>
        <v>272861</v>
      </c>
      <c r="F61" s="237">
        <f t="shared" si="4"/>
        <v>252688</v>
      </c>
      <c r="G61" s="237">
        <f t="shared" si="4"/>
        <v>237413</v>
      </c>
      <c r="H61" s="237">
        <f t="shared" si="4"/>
        <v>221714</v>
      </c>
      <c r="I61" s="237">
        <f t="shared" si="4"/>
        <v>239616</v>
      </c>
      <c r="J61" s="237">
        <f t="shared" si="4"/>
        <v>219641</v>
      </c>
      <c r="K61" s="237">
        <f t="shared" si="4"/>
        <v>239614</v>
      </c>
      <c r="L61" s="237">
        <f t="shared" si="4"/>
        <v>141734</v>
      </c>
      <c r="M61" s="237">
        <f t="shared" si="4"/>
        <v>131112</v>
      </c>
      <c r="O61" s="23"/>
    </row>
    <row r="62" spans="2:15">
      <c r="B62" s="3" t="s">
        <v>85</v>
      </c>
      <c r="C62" s="237">
        <f t="shared" ref="C62:M62" si="5">C89+C116+C144+C170</f>
        <v>193807</v>
      </c>
      <c r="D62" s="237">
        <f t="shared" si="5"/>
        <v>223345</v>
      </c>
      <c r="E62" s="237">
        <f t="shared" si="5"/>
        <v>230943</v>
      </c>
      <c r="F62" s="237">
        <f t="shared" si="5"/>
        <v>219202</v>
      </c>
      <c r="G62" s="237">
        <f t="shared" si="5"/>
        <v>207430</v>
      </c>
      <c r="H62" s="237">
        <f t="shared" si="5"/>
        <v>192400</v>
      </c>
      <c r="I62" s="237">
        <f t="shared" si="5"/>
        <v>207617</v>
      </c>
      <c r="J62" s="237">
        <f t="shared" si="5"/>
        <v>193984</v>
      </c>
      <c r="K62" s="237">
        <f t="shared" si="5"/>
        <v>215098</v>
      </c>
      <c r="L62" s="237">
        <f t="shared" si="5"/>
        <v>127038</v>
      </c>
      <c r="M62" s="237">
        <f t="shared" si="5"/>
        <v>125527</v>
      </c>
      <c r="O62" s="23"/>
    </row>
    <row r="63" spans="2:15">
      <c r="B63" s="3" t="s">
        <v>86</v>
      </c>
      <c r="C63" s="237">
        <f t="shared" ref="C63:M63" si="6">C90+C117+C145+C171</f>
        <v>150566</v>
      </c>
      <c r="D63" s="237">
        <f t="shared" si="6"/>
        <v>184309</v>
      </c>
      <c r="E63" s="237">
        <f t="shared" si="6"/>
        <v>191463</v>
      </c>
      <c r="F63" s="237">
        <f t="shared" si="6"/>
        <v>180958</v>
      </c>
      <c r="G63" s="237">
        <f t="shared" si="6"/>
        <v>173583</v>
      </c>
      <c r="H63" s="237">
        <f t="shared" si="6"/>
        <v>161626</v>
      </c>
      <c r="I63" s="237">
        <f t="shared" si="6"/>
        <v>174052</v>
      </c>
      <c r="J63" s="237">
        <f t="shared" si="6"/>
        <v>161599</v>
      </c>
      <c r="K63" s="237">
        <f t="shared" si="6"/>
        <v>180144</v>
      </c>
      <c r="L63" s="237">
        <f t="shared" si="6"/>
        <v>184767</v>
      </c>
      <c r="M63" s="237">
        <f t="shared" si="6"/>
        <v>182452</v>
      </c>
      <c r="O63" s="23"/>
    </row>
    <row r="64" spans="2:15">
      <c r="B64" s="3" t="s">
        <v>87</v>
      </c>
      <c r="C64" s="237">
        <f t="shared" ref="C64:M64" si="7">C91+C118+C146+C172</f>
        <v>117362</v>
      </c>
      <c r="D64" s="237">
        <f t="shared" si="7"/>
        <v>136959</v>
      </c>
      <c r="E64" s="237">
        <f t="shared" si="7"/>
        <v>151918</v>
      </c>
      <c r="F64" s="237">
        <f t="shared" si="7"/>
        <v>143318</v>
      </c>
      <c r="G64" s="237">
        <f t="shared" si="7"/>
        <v>136265</v>
      </c>
      <c r="H64" s="237">
        <f t="shared" si="7"/>
        <v>130815</v>
      </c>
      <c r="I64" s="237">
        <f t="shared" si="7"/>
        <v>140544</v>
      </c>
      <c r="J64" s="237">
        <f t="shared" si="7"/>
        <v>129516</v>
      </c>
      <c r="K64" s="237">
        <f t="shared" si="7"/>
        <v>144045</v>
      </c>
      <c r="L64" s="237">
        <f t="shared" si="7"/>
        <v>149948</v>
      </c>
      <c r="M64" s="237">
        <f t="shared" si="7"/>
        <v>152388</v>
      </c>
      <c r="O64" s="23"/>
    </row>
    <row r="65" spans="2:15">
      <c r="B65" s="3" t="s">
        <v>88</v>
      </c>
      <c r="C65" s="237">
        <f t="shared" ref="C65:M65" si="8">C92+C119+C147+C173</f>
        <v>88298</v>
      </c>
      <c r="D65" s="237">
        <f t="shared" si="8"/>
        <v>102014</v>
      </c>
      <c r="E65" s="237">
        <f t="shared" si="8"/>
        <v>167370</v>
      </c>
      <c r="F65" s="237">
        <f t="shared" si="8"/>
        <v>107770</v>
      </c>
      <c r="G65" s="237">
        <f t="shared" si="8"/>
        <v>103173</v>
      </c>
      <c r="H65" s="237">
        <f t="shared" si="8"/>
        <v>99715</v>
      </c>
      <c r="I65" s="237">
        <f t="shared" si="8"/>
        <v>111137</v>
      </c>
      <c r="J65" s="237">
        <f t="shared" si="8"/>
        <v>99571</v>
      </c>
      <c r="K65" s="237">
        <f t="shared" si="8"/>
        <v>110996</v>
      </c>
      <c r="L65" s="237">
        <f t="shared" si="8"/>
        <v>115581</v>
      </c>
      <c r="M65" s="237">
        <f t="shared" si="8"/>
        <v>121007</v>
      </c>
      <c r="O65" s="23"/>
    </row>
    <row r="66" spans="2:15">
      <c r="B66" s="3" t="s">
        <v>89</v>
      </c>
      <c r="C66" s="237">
        <f t="shared" ref="C66:M66" si="9">C93+C120+C148+C174</f>
        <v>67236</v>
      </c>
      <c r="D66" s="237">
        <f t="shared" si="9"/>
        <v>74160</v>
      </c>
      <c r="E66" s="237">
        <f t="shared" si="9"/>
        <v>50573</v>
      </c>
      <c r="F66" s="237">
        <f t="shared" si="9"/>
        <v>71564</v>
      </c>
      <c r="G66" s="237">
        <f t="shared" si="9"/>
        <v>75669</v>
      </c>
      <c r="H66" s="237">
        <f t="shared" si="9"/>
        <v>74224</v>
      </c>
      <c r="I66" s="237">
        <f t="shared" si="9"/>
        <v>83538</v>
      </c>
      <c r="J66" s="237">
        <f t="shared" si="9"/>
        <v>76670</v>
      </c>
      <c r="K66" s="237">
        <f t="shared" si="9"/>
        <v>84414</v>
      </c>
      <c r="L66" s="237">
        <f t="shared" si="9"/>
        <v>86618</v>
      </c>
      <c r="M66" s="237">
        <f t="shared" si="9"/>
        <v>87567</v>
      </c>
      <c r="O66" s="23"/>
    </row>
    <row r="67" spans="2:15">
      <c r="B67" s="3" t="s">
        <v>90</v>
      </c>
      <c r="C67" s="237">
        <f t="shared" ref="C67:M67" si="10">C94+C121+C149+C175</f>
        <v>48923</v>
      </c>
      <c r="D67" s="237">
        <f t="shared" si="10"/>
        <v>53882</v>
      </c>
      <c r="E67" s="237">
        <f t="shared" si="10"/>
        <v>38328</v>
      </c>
      <c r="F67" s="237">
        <f t="shared" si="10"/>
        <v>50124</v>
      </c>
      <c r="G67" s="237">
        <f t="shared" si="10"/>
        <v>54736</v>
      </c>
      <c r="H67" s="237">
        <f t="shared" si="10"/>
        <v>54658</v>
      </c>
      <c r="I67" s="237">
        <f t="shared" si="10"/>
        <v>62245</v>
      </c>
      <c r="J67" s="237">
        <f t="shared" si="10"/>
        <v>56176</v>
      </c>
      <c r="K67" s="237">
        <f t="shared" si="10"/>
        <v>64405</v>
      </c>
      <c r="L67" s="237">
        <f t="shared" si="10"/>
        <v>64997</v>
      </c>
      <c r="M67" s="237">
        <f t="shared" si="10"/>
        <v>65525</v>
      </c>
      <c r="O67" s="23"/>
    </row>
    <row r="68" spans="2:15">
      <c r="B68" s="3" t="s">
        <v>91</v>
      </c>
      <c r="C68" s="237">
        <f t="shared" ref="C68:M68" si="11">C95+C122+C150+C176</f>
        <v>34570</v>
      </c>
      <c r="D68" s="237">
        <f t="shared" si="11"/>
        <v>37220</v>
      </c>
      <c r="E68" s="237">
        <f t="shared" si="11"/>
        <v>27380</v>
      </c>
      <c r="F68" s="237">
        <f t="shared" si="11"/>
        <v>35235</v>
      </c>
      <c r="G68" s="237">
        <f t="shared" si="11"/>
        <v>35049</v>
      </c>
      <c r="H68" s="237">
        <f t="shared" si="11"/>
        <v>39960</v>
      </c>
      <c r="I68" s="237">
        <f t="shared" si="11"/>
        <v>46106</v>
      </c>
      <c r="J68" s="237">
        <f t="shared" si="11"/>
        <v>41250</v>
      </c>
      <c r="K68" s="237">
        <f t="shared" si="11"/>
        <v>47360</v>
      </c>
      <c r="L68" s="237">
        <f t="shared" si="11"/>
        <v>49945</v>
      </c>
      <c r="M68" s="237">
        <f t="shared" si="11"/>
        <v>51094</v>
      </c>
      <c r="O68" s="23"/>
    </row>
    <row r="69" spans="2:15">
      <c r="B69" s="3" t="s">
        <v>92</v>
      </c>
      <c r="C69" s="237">
        <f t="shared" ref="C69:M69" si="12">C96+C123+C151+C177</f>
        <v>24761</v>
      </c>
      <c r="D69" s="237">
        <f t="shared" si="12"/>
        <v>26710</v>
      </c>
      <c r="E69" s="237">
        <f t="shared" si="12"/>
        <v>20715</v>
      </c>
      <c r="F69" s="237">
        <f t="shared" si="12"/>
        <v>24452</v>
      </c>
      <c r="G69" s="237">
        <f t="shared" si="12"/>
        <v>24048</v>
      </c>
      <c r="H69" s="237">
        <f t="shared" si="12"/>
        <v>24082</v>
      </c>
      <c r="I69" s="237">
        <f t="shared" si="12"/>
        <v>37053</v>
      </c>
      <c r="J69" s="237">
        <f t="shared" si="12"/>
        <v>29267</v>
      </c>
      <c r="K69" s="237">
        <f t="shared" si="12"/>
        <v>34399</v>
      </c>
      <c r="L69" s="237">
        <f t="shared" si="12"/>
        <v>35364</v>
      </c>
      <c r="M69" s="237">
        <f t="shared" si="12"/>
        <v>35690</v>
      </c>
      <c r="O69" s="23"/>
    </row>
    <row r="70" spans="2:15">
      <c r="B70" s="3" t="s">
        <v>95</v>
      </c>
      <c r="C70" s="237">
        <f t="shared" ref="C70:M70" si="13">C97+C124+C152+C178</f>
        <v>38670</v>
      </c>
      <c r="D70" s="237">
        <f t="shared" si="13"/>
        <v>40644</v>
      </c>
      <c r="E70" s="237">
        <f t="shared" si="13"/>
        <v>33204</v>
      </c>
      <c r="F70" s="237">
        <f t="shared" si="13"/>
        <v>37041</v>
      </c>
      <c r="G70" s="237">
        <f t="shared" si="13"/>
        <v>35824</v>
      </c>
      <c r="H70" s="237">
        <f t="shared" si="13"/>
        <v>35209</v>
      </c>
      <c r="I70" s="237">
        <f t="shared" si="13"/>
        <v>39028</v>
      </c>
      <c r="J70" s="237">
        <f t="shared" si="13"/>
        <v>33752</v>
      </c>
      <c r="K70" s="237">
        <f t="shared" si="13"/>
        <v>44443</v>
      </c>
      <c r="L70" s="237">
        <f t="shared" si="13"/>
        <v>49714</v>
      </c>
      <c r="M70" s="237">
        <f t="shared" si="13"/>
        <v>51142</v>
      </c>
      <c r="O70" s="23"/>
    </row>
    <row r="71" spans="2:15">
      <c r="B71" s="3" t="s">
        <v>96</v>
      </c>
      <c r="C71" s="237">
        <f t="shared" ref="C71:M71" si="14">C98+C125+C153+C179</f>
        <v>5848</v>
      </c>
      <c r="D71" s="237">
        <f t="shared" si="14"/>
        <v>6225</v>
      </c>
      <c r="E71" s="237">
        <f t="shared" si="14"/>
        <v>5024</v>
      </c>
      <c r="F71" s="237">
        <f t="shared" si="14"/>
        <v>5509</v>
      </c>
      <c r="G71" s="237">
        <f t="shared" si="14"/>
        <v>5712</v>
      </c>
      <c r="H71" s="237">
        <f t="shared" si="14"/>
        <v>5745</v>
      </c>
      <c r="I71" s="237">
        <f t="shared" si="14"/>
        <v>7205</v>
      </c>
      <c r="J71" s="237">
        <f t="shared" si="14"/>
        <v>5956</v>
      </c>
      <c r="K71" s="237">
        <f t="shared" si="14"/>
        <v>7540</v>
      </c>
      <c r="L71" s="237">
        <f t="shared" si="14"/>
        <v>7960</v>
      </c>
      <c r="M71" s="237">
        <f t="shared" si="14"/>
        <v>8082</v>
      </c>
      <c r="O71" s="23"/>
    </row>
    <row r="72" spans="2:15">
      <c r="B72" s="3" t="s">
        <v>93</v>
      </c>
      <c r="C72" s="237">
        <f t="shared" ref="C72:M72" si="15">C99+C126+C154+C180</f>
        <v>2135</v>
      </c>
      <c r="D72" s="237">
        <f t="shared" si="15"/>
        <v>2289</v>
      </c>
      <c r="E72" s="237">
        <f t="shared" si="15"/>
        <v>1848</v>
      </c>
      <c r="F72" s="237">
        <f t="shared" si="15"/>
        <v>1996</v>
      </c>
      <c r="G72" s="237">
        <f t="shared" si="15"/>
        <v>2150</v>
      </c>
      <c r="H72" s="237">
        <f t="shared" si="15"/>
        <v>2196</v>
      </c>
      <c r="I72" s="237">
        <f t="shared" si="15"/>
        <v>3043</v>
      </c>
      <c r="J72" s="237">
        <f t="shared" si="15"/>
        <v>2426</v>
      </c>
      <c r="K72" s="237">
        <f t="shared" si="15"/>
        <v>2983</v>
      </c>
      <c r="L72" s="237">
        <f t="shared" si="15"/>
        <v>2993</v>
      </c>
      <c r="M72" s="237">
        <f t="shared" si="15"/>
        <v>3095</v>
      </c>
      <c r="O72" s="23"/>
    </row>
    <row r="73" spans="2:15">
      <c r="B73" s="3" t="s">
        <v>97</v>
      </c>
      <c r="C73" s="237">
        <f t="shared" ref="C73:M73" si="16">C100+C127+C155+C181</f>
        <v>763</v>
      </c>
      <c r="D73" s="237">
        <f t="shared" si="16"/>
        <v>824</v>
      </c>
      <c r="E73" s="237">
        <f t="shared" si="16"/>
        <v>669</v>
      </c>
      <c r="F73" s="237">
        <f t="shared" si="16"/>
        <v>711</v>
      </c>
      <c r="G73" s="237">
        <f t="shared" si="16"/>
        <v>800</v>
      </c>
      <c r="H73" s="237">
        <f t="shared" si="16"/>
        <v>829</v>
      </c>
      <c r="I73" s="237">
        <f t="shared" si="16"/>
        <v>1271</v>
      </c>
      <c r="J73" s="237">
        <f t="shared" si="16"/>
        <v>978</v>
      </c>
      <c r="K73" s="237">
        <f t="shared" si="16"/>
        <v>1164</v>
      </c>
      <c r="L73" s="237">
        <f t="shared" si="16"/>
        <v>1106</v>
      </c>
      <c r="M73" s="237">
        <f t="shared" si="16"/>
        <v>1143</v>
      </c>
      <c r="O73" s="23"/>
    </row>
    <row r="74" spans="2:15">
      <c r="B74" s="3" t="s">
        <v>136</v>
      </c>
      <c r="C74" s="237">
        <f t="shared" ref="C74:M74" si="17">C101+C128+C156+C182</f>
        <v>1553</v>
      </c>
      <c r="D74" s="237">
        <f t="shared" si="17"/>
        <v>1589</v>
      </c>
      <c r="E74" s="237">
        <f t="shared" si="17"/>
        <v>1457</v>
      </c>
      <c r="F74" s="237">
        <f t="shared" si="17"/>
        <v>1604</v>
      </c>
      <c r="G74" s="237">
        <f t="shared" si="17"/>
        <v>1287</v>
      </c>
      <c r="H74" s="237">
        <f t="shared" si="17"/>
        <v>1218</v>
      </c>
      <c r="I74" s="237">
        <f t="shared" si="17"/>
        <v>1882</v>
      </c>
      <c r="J74" s="237">
        <f t="shared" si="17"/>
        <v>1413</v>
      </c>
      <c r="K74" s="237">
        <f t="shared" si="17"/>
        <v>1737</v>
      </c>
      <c r="L74" s="237">
        <f t="shared" si="17"/>
        <v>1652</v>
      </c>
      <c r="M74" s="237">
        <f t="shared" si="17"/>
        <v>1710</v>
      </c>
      <c r="O74" s="23"/>
    </row>
    <row r="75" spans="2:15">
      <c r="B75" s="5" t="s">
        <v>94</v>
      </c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5"/>
      <c r="O75" s="27"/>
    </row>
    <row r="76" spans="2:15" s="9" customFormat="1">
      <c r="C76" s="20"/>
      <c r="D76" s="20"/>
      <c r="E76" s="20"/>
      <c r="F76" s="20"/>
      <c r="G76" s="20"/>
      <c r="H76" s="20"/>
      <c r="I76" s="20"/>
      <c r="J76" s="20"/>
      <c r="K76" s="20"/>
      <c r="M76" s="24"/>
      <c r="N76" s="24"/>
      <c r="O76" s="22"/>
    </row>
    <row r="77" spans="2:15" s="9" customFormat="1">
      <c r="C77" s="20"/>
      <c r="D77" s="20"/>
      <c r="E77" s="20"/>
      <c r="F77" s="20"/>
      <c r="G77" s="20"/>
      <c r="H77" s="20"/>
      <c r="I77" s="20"/>
      <c r="J77" s="20"/>
      <c r="K77" s="20"/>
      <c r="M77" s="24"/>
      <c r="N77" s="24"/>
      <c r="O77" s="22"/>
    </row>
    <row r="78" spans="2:15" s="9" customFormat="1">
      <c r="C78" s="20"/>
      <c r="D78" s="20"/>
      <c r="E78" s="20"/>
      <c r="F78" s="20"/>
      <c r="G78" s="20"/>
      <c r="H78" s="20"/>
      <c r="I78" s="20"/>
      <c r="J78" s="20"/>
      <c r="K78" s="20"/>
      <c r="M78" s="24"/>
      <c r="N78" s="24"/>
      <c r="O78" s="22"/>
    </row>
    <row r="79" spans="2:15" s="9" customFormat="1">
      <c r="C79" s="20"/>
      <c r="D79" s="20"/>
      <c r="E79" s="20"/>
      <c r="F79" s="20"/>
      <c r="G79" s="20"/>
      <c r="H79" s="20"/>
      <c r="I79" s="20"/>
      <c r="J79" s="20"/>
      <c r="K79" s="20"/>
      <c r="M79" s="24"/>
      <c r="N79" s="24"/>
      <c r="O79" s="22"/>
    </row>
    <row r="80" spans="2:15">
      <c r="D80" s="7"/>
    </row>
    <row r="81" spans="2:15">
      <c r="B81" s="15" t="s">
        <v>148</v>
      </c>
      <c r="C81" s="16"/>
      <c r="D81" s="16"/>
      <c r="E81" s="16"/>
      <c r="F81" s="16"/>
      <c r="G81" s="16"/>
      <c r="H81" s="16"/>
      <c r="I81" s="16"/>
      <c r="J81" s="16"/>
      <c r="K81" s="11"/>
      <c r="L81" s="11"/>
      <c r="M81" s="156"/>
      <c r="N81" s="156"/>
      <c r="O81" s="37"/>
    </row>
    <row r="82" spans="2:15">
      <c r="B82" s="17"/>
      <c r="C82" s="18"/>
      <c r="D82" s="18"/>
      <c r="E82" s="18"/>
      <c r="F82" s="18"/>
      <c r="G82" s="18"/>
      <c r="H82" s="18"/>
      <c r="I82" s="18"/>
      <c r="J82" s="18"/>
      <c r="K82" s="18"/>
      <c r="L82" s="18"/>
      <c r="O82" s="23"/>
    </row>
    <row r="83" spans="2:15">
      <c r="B83" s="17"/>
      <c r="C83" s="25" t="s">
        <v>0</v>
      </c>
      <c r="D83" s="25" t="s">
        <v>1</v>
      </c>
      <c r="E83" s="25" t="s">
        <v>2</v>
      </c>
      <c r="F83" s="25" t="s">
        <v>3</v>
      </c>
      <c r="G83" s="25" t="s">
        <v>4</v>
      </c>
      <c r="H83" s="25" t="s">
        <v>5</v>
      </c>
      <c r="I83" s="25" t="s">
        <v>6</v>
      </c>
      <c r="J83" s="25" t="s">
        <v>7</v>
      </c>
      <c r="K83" s="25" t="s">
        <v>8</v>
      </c>
      <c r="L83" s="25">
        <v>2011</v>
      </c>
      <c r="M83" s="152">
        <v>2012</v>
      </c>
      <c r="N83" s="157"/>
      <c r="O83" s="96"/>
    </row>
    <row r="84" spans="2:15">
      <c r="B84" s="17" t="s">
        <v>102</v>
      </c>
      <c r="C84" s="330">
        <v>255465</v>
      </c>
      <c r="D84" s="330">
        <v>170338</v>
      </c>
      <c r="E84" s="330">
        <v>121573</v>
      </c>
      <c r="F84" s="330">
        <v>18271</v>
      </c>
      <c r="G84" s="330">
        <v>8519</v>
      </c>
      <c r="H84" s="330">
        <v>2469</v>
      </c>
      <c r="I84" s="330">
        <v>1334</v>
      </c>
      <c r="J84" s="330">
        <v>1043</v>
      </c>
      <c r="K84" s="330">
        <v>950</v>
      </c>
      <c r="L84" s="330">
        <v>880</v>
      </c>
      <c r="M84" s="152">
        <v>720</v>
      </c>
      <c r="O84" s="23"/>
    </row>
    <row r="85" spans="2:15">
      <c r="B85" s="17" t="s">
        <v>98</v>
      </c>
      <c r="C85" s="330">
        <v>177607</v>
      </c>
      <c r="D85" s="330">
        <v>180889</v>
      </c>
      <c r="E85" s="330">
        <v>117330</v>
      </c>
      <c r="F85" s="330">
        <v>82663</v>
      </c>
      <c r="G85" s="330">
        <v>43981</v>
      </c>
      <c r="H85" s="330">
        <v>2144</v>
      </c>
      <c r="I85" s="330">
        <v>621</v>
      </c>
      <c r="J85" s="330">
        <v>581</v>
      </c>
      <c r="K85" s="330">
        <v>501</v>
      </c>
      <c r="L85" s="330">
        <v>430</v>
      </c>
      <c r="M85" s="152">
        <v>402</v>
      </c>
      <c r="O85" s="23"/>
    </row>
    <row r="86" spans="2:15">
      <c r="B86" s="17" t="s">
        <v>99</v>
      </c>
      <c r="C86" s="330">
        <v>398986</v>
      </c>
      <c r="D86" s="330">
        <v>180890</v>
      </c>
      <c r="E86" s="330">
        <v>180824</v>
      </c>
      <c r="F86" s="330">
        <v>171070</v>
      </c>
      <c r="G86" s="330">
        <v>168113</v>
      </c>
      <c r="H86" s="330">
        <v>160375</v>
      </c>
      <c r="I86" s="330">
        <v>166171</v>
      </c>
      <c r="J86" s="330">
        <v>3213</v>
      </c>
      <c r="K86" s="330">
        <v>1321</v>
      </c>
      <c r="L86" s="330">
        <v>844</v>
      </c>
      <c r="M86" s="152">
        <v>711</v>
      </c>
      <c r="O86" s="23"/>
    </row>
    <row r="87" spans="2:15">
      <c r="B87" s="17" t="s">
        <v>83</v>
      </c>
      <c r="C87" s="330">
        <v>281685</v>
      </c>
      <c r="D87" s="330">
        <v>317185</v>
      </c>
      <c r="E87" s="330">
        <v>309970</v>
      </c>
      <c r="F87" s="330">
        <v>281694</v>
      </c>
      <c r="G87" s="330">
        <v>267700</v>
      </c>
      <c r="H87" s="330">
        <v>254677</v>
      </c>
      <c r="I87" s="330">
        <v>266281</v>
      </c>
      <c r="J87" s="330">
        <v>5034</v>
      </c>
      <c r="K87" s="330">
        <v>2523</v>
      </c>
      <c r="L87" s="330">
        <v>1443</v>
      </c>
      <c r="M87" s="152">
        <v>1222</v>
      </c>
      <c r="O87" s="23"/>
    </row>
    <row r="88" spans="2:15">
      <c r="B88" s="17" t="s">
        <v>84</v>
      </c>
      <c r="C88" s="330">
        <v>193215</v>
      </c>
      <c r="D88" s="330">
        <v>230209</v>
      </c>
      <c r="E88" s="330">
        <v>239316</v>
      </c>
      <c r="F88" s="330">
        <v>219544</v>
      </c>
      <c r="G88" s="330">
        <v>206420</v>
      </c>
      <c r="H88" s="330">
        <v>190997</v>
      </c>
      <c r="I88" s="330">
        <v>205013</v>
      </c>
      <c r="J88" s="330">
        <v>189180</v>
      </c>
      <c r="K88" s="330">
        <v>205433</v>
      </c>
      <c r="L88" s="330">
        <v>108315</v>
      </c>
      <c r="M88" s="152">
        <v>97325</v>
      </c>
      <c r="O88" s="23"/>
    </row>
    <row r="89" spans="2:15">
      <c r="B89" s="17" t="s">
        <v>85</v>
      </c>
      <c r="C89" s="330">
        <v>163398</v>
      </c>
      <c r="D89" s="330">
        <v>192420</v>
      </c>
      <c r="E89" s="330">
        <v>200355</v>
      </c>
      <c r="F89" s="330">
        <v>187198</v>
      </c>
      <c r="G89" s="330">
        <v>178497</v>
      </c>
      <c r="H89" s="330">
        <v>164450</v>
      </c>
      <c r="I89" s="330">
        <v>175610</v>
      </c>
      <c r="J89" s="330">
        <v>165687</v>
      </c>
      <c r="K89" s="330">
        <v>183568</v>
      </c>
      <c r="L89" s="330">
        <v>95758</v>
      </c>
      <c r="M89" s="152">
        <v>94122</v>
      </c>
      <c r="O89" s="23"/>
    </row>
    <row r="90" spans="2:15">
      <c r="B90" s="17" t="s">
        <v>86</v>
      </c>
      <c r="C90" s="330">
        <v>125025</v>
      </c>
      <c r="D90" s="330">
        <v>158322</v>
      </c>
      <c r="E90" s="330">
        <v>165000</v>
      </c>
      <c r="F90" s="330">
        <v>153128</v>
      </c>
      <c r="G90" s="330">
        <v>148257</v>
      </c>
      <c r="H90" s="330">
        <v>137684</v>
      </c>
      <c r="I90" s="330">
        <v>147043</v>
      </c>
      <c r="J90" s="330">
        <v>137219</v>
      </c>
      <c r="K90" s="330">
        <v>153046</v>
      </c>
      <c r="L90" s="330">
        <v>158297</v>
      </c>
      <c r="M90" s="152">
        <v>155672</v>
      </c>
      <c r="O90" s="23"/>
    </row>
    <row r="91" spans="2:15">
      <c r="B91" s="17" t="s">
        <v>87</v>
      </c>
      <c r="C91" s="330">
        <v>96633</v>
      </c>
      <c r="D91" s="330">
        <v>116264</v>
      </c>
      <c r="E91" s="330">
        <v>130809</v>
      </c>
      <c r="F91" s="330">
        <v>120770</v>
      </c>
      <c r="G91" s="330">
        <v>116246</v>
      </c>
      <c r="H91" s="330">
        <v>110976</v>
      </c>
      <c r="I91" s="330">
        <v>118507</v>
      </c>
      <c r="J91" s="330">
        <v>110290</v>
      </c>
      <c r="K91" s="330">
        <v>122610</v>
      </c>
      <c r="L91" s="330">
        <v>129137</v>
      </c>
      <c r="M91" s="152">
        <v>131269</v>
      </c>
      <c r="O91" s="23"/>
    </row>
    <row r="92" spans="2:15">
      <c r="B92" s="17" t="s">
        <v>88</v>
      </c>
      <c r="C92" s="330">
        <v>75147</v>
      </c>
      <c r="D92" s="330">
        <v>85024</v>
      </c>
      <c r="E92" s="330">
        <v>144638</v>
      </c>
      <c r="F92" s="330">
        <v>90287</v>
      </c>
      <c r="G92" s="330">
        <v>88012</v>
      </c>
      <c r="H92" s="330">
        <v>84773</v>
      </c>
      <c r="I92" s="330">
        <v>93515</v>
      </c>
      <c r="J92" s="330">
        <v>85075</v>
      </c>
      <c r="K92" s="330">
        <v>94980</v>
      </c>
      <c r="L92" s="330">
        <v>100093</v>
      </c>
      <c r="M92" s="152">
        <v>105258</v>
      </c>
      <c r="O92" s="23"/>
    </row>
    <row r="93" spans="2:15">
      <c r="B93" s="17" t="s">
        <v>89</v>
      </c>
      <c r="C93" s="330">
        <v>55077</v>
      </c>
      <c r="D93" s="330">
        <v>62007</v>
      </c>
      <c r="E93" s="330">
        <v>40529</v>
      </c>
      <c r="F93" s="330">
        <v>59402</v>
      </c>
      <c r="G93" s="330">
        <v>64734</v>
      </c>
      <c r="H93" s="330">
        <v>63293</v>
      </c>
      <c r="I93" s="330">
        <v>70170</v>
      </c>
      <c r="J93" s="330">
        <v>65377</v>
      </c>
      <c r="K93" s="330">
        <v>72499</v>
      </c>
      <c r="L93" s="330">
        <v>75416</v>
      </c>
      <c r="M93" s="152">
        <v>76010</v>
      </c>
      <c r="O93" s="23"/>
    </row>
    <row r="94" spans="2:15">
      <c r="B94" s="17" t="s">
        <v>90</v>
      </c>
      <c r="C94" s="330">
        <v>39722</v>
      </c>
      <c r="D94" s="330">
        <v>44160</v>
      </c>
      <c r="E94" s="330">
        <v>30138</v>
      </c>
      <c r="F94" s="330">
        <v>40821</v>
      </c>
      <c r="G94" s="330">
        <v>46585</v>
      </c>
      <c r="H94" s="330">
        <v>46658</v>
      </c>
      <c r="I94" s="330">
        <v>52242</v>
      </c>
      <c r="J94" s="330">
        <v>47717</v>
      </c>
      <c r="K94" s="330">
        <v>55138</v>
      </c>
      <c r="L94" s="330">
        <v>56794</v>
      </c>
      <c r="M94" s="152">
        <v>56789</v>
      </c>
      <c r="O94" s="23"/>
    </row>
    <row r="95" spans="2:15">
      <c r="B95" s="17" t="s">
        <v>91</v>
      </c>
      <c r="C95" s="330">
        <v>28383</v>
      </c>
      <c r="D95" s="330">
        <v>31118</v>
      </c>
      <c r="E95" s="330">
        <v>22149</v>
      </c>
      <c r="F95" s="330">
        <v>28696</v>
      </c>
      <c r="G95" s="330">
        <v>28952</v>
      </c>
      <c r="H95" s="330">
        <v>34255</v>
      </c>
      <c r="I95" s="330">
        <v>38483</v>
      </c>
      <c r="J95" s="330">
        <v>34912</v>
      </c>
      <c r="K95" s="330">
        <v>40493</v>
      </c>
      <c r="L95" s="330">
        <v>43513</v>
      </c>
      <c r="M95" s="152">
        <v>44444</v>
      </c>
      <c r="O95" s="23"/>
    </row>
    <row r="96" spans="2:15">
      <c r="B96" s="17" t="s">
        <v>92</v>
      </c>
      <c r="C96" s="330">
        <v>20148</v>
      </c>
      <c r="D96" s="330">
        <v>21781</v>
      </c>
      <c r="E96" s="330">
        <v>16294</v>
      </c>
      <c r="F96" s="330">
        <v>19951</v>
      </c>
      <c r="G96" s="330">
        <v>19785</v>
      </c>
      <c r="H96" s="330">
        <v>19906</v>
      </c>
      <c r="I96" s="330">
        <v>30851</v>
      </c>
      <c r="J96" s="330">
        <v>24602</v>
      </c>
      <c r="K96" s="330">
        <v>29360</v>
      </c>
      <c r="L96" s="330">
        <v>30822</v>
      </c>
      <c r="M96" s="152">
        <v>30899</v>
      </c>
      <c r="O96" s="23"/>
    </row>
    <row r="97" spans="2:15">
      <c r="B97" s="17" t="s">
        <v>95</v>
      </c>
      <c r="C97" s="330">
        <v>34321</v>
      </c>
      <c r="D97" s="330">
        <v>36225</v>
      </c>
      <c r="E97" s="330">
        <v>29085</v>
      </c>
      <c r="F97" s="330">
        <v>32500</v>
      </c>
      <c r="G97" s="330">
        <v>32334</v>
      </c>
      <c r="H97" s="330">
        <v>31951</v>
      </c>
      <c r="I97" s="330">
        <v>33917</v>
      </c>
      <c r="J97" s="330">
        <v>29945</v>
      </c>
      <c r="K97" s="330">
        <v>39757</v>
      </c>
      <c r="L97" s="330">
        <v>45294</v>
      </c>
      <c r="M97" s="24">
        <v>46589</v>
      </c>
      <c r="O97" s="23"/>
    </row>
    <row r="98" spans="2:15">
      <c r="B98" s="17" t="s">
        <v>96</v>
      </c>
      <c r="C98" s="330">
        <v>3784</v>
      </c>
      <c r="D98" s="330">
        <v>3994</v>
      </c>
      <c r="E98" s="330">
        <v>3206</v>
      </c>
      <c r="F98" s="330">
        <v>3583</v>
      </c>
      <c r="G98" s="330">
        <v>3565</v>
      </c>
      <c r="H98" s="330">
        <v>3522</v>
      </c>
      <c r="I98" s="330">
        <v>3739</v>
      </c>
      <c r="J98" s="330">
        <v>3301</v>
      </c>
      <c r="K98" s="330">
        <v>4383</v>
      </c>
      <c r="L98" s="330">
        <v>4993</v>
      </c>
      <c r="M98" s="24">
        <v>5021</v>
      </c>
      <c r="O98" s="23"/>
    </row>
    <row r="99" spans="2:15">
      <c r="B99" s="17" t="s">
        <v>93</v>
      </c>
      <c r="C99" s="330">
        <v>820</v>
      </c>
      <c r="D99" s="330">
        <v>865</v>
      </c>
      <c r="E99" s="330">
        <v>695</v>
      </c>
      <c r="F99" s="330">
        <v>776</v>
      </c>
      <c r="G99" s="330">
        <v>770</v>
      </c>
      <c r="H99" s="330">
        <v>763</v>
      </c>
      <c r="I99" s="330">
        <v>810</v>
      </c>
      <c r="J99" s="330">
        <v>715</v>
      </c>
      <c r="K99" s="330">
        <v>950</v>
      </c>
      <c r="L99" s="330">
        <v>1082</v>
      </c>
      <c r="M99" s="24">
        <v>1122</v>
      </c>
      <c r="O99" s="23"/>
    </row>
    <row r="100" spans="2:15">
      <c r="B100" s="17" t="s">
        <v>97</v>
      </c>
      <c r="C100" s="330">
        <v>42</v>
      </c>
      <c r="D100" s="330">
        <v>42</v>
      </c>
      <c r="E100" s="330">
        <v>36</v>
      </c>
      <c r="F100" s="330">
        <v>40</v>
      </c>
      <c r="G100" s="330">
        <v>40</v>
      </c>
      <c r="H100" s="330">
        <v>40</v>
      </c>
      <c r="I100" s="330">
        <v>41</v>
      </c>
      <c r="J100" s="330">
        <v>36</v>
      </c>
      <c r="K100" s="330">
        <v>45</v>
      </c>
      <c r="L100" s="330">
        <v>54</v>
      </c>
      <c r="M100" s="42">
        <v>59</v>
      </c>
      <c r="O100" s="23"/>
    </row>
    <row r="101" spans="2:15">
      <c r="B101" s="3" t="s">
        <v>136</v>
      </c>
      <c r="C101" s="330">
        <v>56</v>
      </c>
      <c r="D101" s="330">
        <v>59</v>
      </c>
      <c r="E101" s="330">
        <v>47</v>
      </c>
      <c r="F101" s="330">
        <v>53</v>
      </c>
      <c r="G101" s="330">
        <v>53</v>
      </c>
      <c r="H101" s="330">
        <v>52</v>
      </c>
      <c r="I101" s="330">
        <v>55</v>
      </c>
      <c r="J101" s="330">
        <v>49</v>
      </c>
      <c r="K101" s="330">
        <v>65</v>
      </c>
      <c r="L101" s="330">
        <v>74</v>
      </c>
      <c r="M101" s="42">
        <v>87</v>
      </c>
      <c r="O101" s="23"/>
    </row>
    <row r="102" spans="2:15">
      <c r="B102" s="19" t="s">
        <v>94</v>
      </c>
      <c r="C102" s="52"/>
      <c r="D102" s="52"/>
      <c r="E102" s="52"/>
      <c r="F102" s="52"/>
      <c r="G102" s="44"/>
      <c r="H102" s="44"/>
      <c r="I102" s="44"/>
      <c r="J102" s="44"/>
      <c r="K102" s="44"/>
      <c r="L102" s="44"/>
      <c r="M102" s="153"/>
      <c r="N102" s="35"/>
      <c r="O102" s="27"/>
    </row>
    <row r="103" spans="2:15" s="9" customFormat="1">
      <c r="B103" s="38"/>
      <c r="C103" s="40"/>
      <c r="D103" s="40"/>
      <c r="E103" s="40"/>
      <c r="F103" s="40"/>
      <c r="G103" s="40"/>
      <c r="H103" s="40"/>
      <c r="I103" s="40"/>
      <c r="J103" s="40"/>
      <c r="K103" s="40"/>
      <c r="L103" s="22"/>
      <c r="M103" s="24"/>
      <c r="N103" s="24"/>
      <c r="O103" s="22"/>
    </row>
    <row r="104" spans="2:15" s="9" customFormat="1">
      <c r="B104" s="38"/>
      <c r="C104" s="40"/>
      <c r="D104" s="40"/>
      <c r="E104" s="40"/>
      <c r="F104" s="40"/>
      <c r="G104" s="40"/>
      <c r="H104" s="40"/>
      <c r="I104" s="40"/>
      <c r="J104" s="40"/>
      <c r="K104" s="40"/>
      <c r="L104" s="22"/>
      <c r="M104" s="24"/>
      <c r="N104" s="24"/>
      <c r="O104" s="22"/>
    </row>
    <row r="105" spans="2:15" s="9" customFormat="1">
      <c r="B105" s="64"/>
      <c r="C105" s="40"/>
      <c r="D105" s="40"/>
      <c r="E105" s="40"/>
      <c r="F105" s="40"/>
      <c r="G105" s="40"/>
      <c r="H105" s="40"/>
      <c r="I105" s="40"/>
      <c r="J105" s="40"/>
      <c r="K105" s="40"/>
      <c r="L105" s="22"/>
      <c r="M105" s="24"/>
      <c r="N105" s="24"/>
      <c r="O105" s="22"/>
    </row>
    <row r="106" spans="2:15" s="9" customFormat="1">
      <c r="B106" s="64"/>
      <c r="C106" s="40"/>
      <c r="D106" s="40"/>
      <c r="E106" s="40"/>
      <c r="F106" s="40"/>
      <c r="G106" s="40"/>
      <c r="H106" s="40"/>
      <c r="I106" s="40"/>
      <c r="J106" s="40"/>
      <c r="K106" s="40"/>
      <c r="L106" s="22"/>
      <c r="M106" s="24"/>
      <c r="N106" s="24"/>
      <c r="O106" s="22"/>
    </row>
    <row r="108" spans="2:15">
      <c r="B108" s="15" t="s">
        <v>149</v>
      </c>
      <c r="C108" s="16"/>
      <c r="D108" s="16"/>
      <c r="E108" s="16"/>
      <c r="F108" s="16"/>
      <c r="G108" s="16"/>
      <c r="H108" s="16"/>
      <c r="I108" s="16"/>
      <c r="J108" s="16"/>
      <c r="K108" s="11"/>
      <c r="L108" s="11"/>
      <c r="M108" s="156"/>
      <c r="N108" s="156"/>
      <c r="O108" s="37"/>
    </row>
    <row r="109" spans="2:15">
      <c r="B109" s="17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O109" s="23"/>
    </row>
    <row r="110" spans="2:15">
      <c r="B110" s="17"/>
      <c r="C110" s="25" t="s">
        <v>0</v>
      </c>
      <c r="D110" s="25" t="s">
        <v>1</v>
      </c>
      <c r="E110" s="25" t="s">
        <v>2</v>
      </c>
      <c r="F110" s="25" t="s">
        <v>3</v>
      </c>
      <c r="G110" s="25" t="s">
        <v>4</v>
      </c>
      <c r="H110" s="25" t="s">
        <v>5</v>
      </c>
      <c r="I110" s="25" t="s">
        <v>6</v>
      </c>
      <c r="J110" s="25" t="s">
        <v>7</v>
      </c>
      <c r="K110" s="25" t="s">
        <v>8</v>
      </c>
      <c r="L110" s="25">
        <v>2011</v>
      </c>
      <c r="M110" s="152">
        <v>2012</v>
      </c>
      <c r="N110" s="157"/>
      <c r="O110" s="96"/>
    </row>
    <row r="111" spans="2:15">
      <c r="B111" s="17" t="s">
        <v>102</v>
      </c>
      <c r="C111" s="331">
        <v>0</v>
      </c>
      <c r="D111" s="331">
        <v>0</v>
      </c>
      <c r="E111" s="331">
        <v>0</v>
      </c>
      <c r="F111" s="331">
        <v>0</v>
      </c>
      <c r="G111" s="331">
        <v>0</v>
      </c>
      <c r="H111" s="331">
        <v>0</v>
      </c>
      <c r="I111" s="331">
        <v>0</v>
      </c>
      <c r="J111" s="331">
        <v>0</v>
      </c>
      <c r="K111" s="331">
        <v>0</v>
      </c>
      <c r="L111" s="331">
        <v>0</v>
      </c>
      <c r="M111" s="152">
        <v>0</v>
      </c>
      <c r="O111" s="23"/>
    </row>
    <row r="112" spans="2:15">
      <c r="B112" s="17" t="s">
        <v>98</v>
      </c>
      <c r="C112" s="331">
        <v>890</v>
      </c>
      <c r="D112" s="331">
        <v>907</v>
      </c>
      <c r="E112" s="331">
        <v>991</v>
      </c>
      <c r="F112" s="331">
        <v>860</v>
      </c>
      <c r="G112" s="331">
        <v>1086</v>
      </c>
      <c r="H112" s="331">
        <v>913</v>
      </c>
      <c r="I112" s="331">
        <v>1134</v>
      </c>
      <c r="J112" s="331">
        <v>312</v>
      </c>
      <c r="K112" s="331">
        <v>423</v>
      </c>
      <c r="L112" s="331">
        <v>412</v>
      </c>
      <c r="M112" s="152">
        <v>418</v>
      </c>
      <c r="O112" s="23"/>
    </row>
    <row r="113" spans="2:15">
      <c r="B113" s="17" t="s">
        <v>99</v>
      </c>
      <c r="C113" s="331">
        <v>2784</v>
      </c>
      <c r="D113" s="331">
        <v>2342</v>
      </c>
      <c r="E113" s="331">
        <v>4113</v>
      </c>
      <c r="F113" s="331">
        <v>4558</v>
      </c>
      <c r="G113" s="331">
        <v>907</v>
      </c>
      <c r="H113" s="331">
        <v>733</v>
      </c>
      <c r="I113" s="331">
        <v>762</v>
      </c>
      <c r="J113" s="331">
        <v>332</v>
      </c>
      <c r="K113" s="331">
        <v>576</v>
      </c>
      <c r="L113" s="331">
        <v>556</v>
      </c>
      <c r="M113" s="152">
        <v>566</v>
      </c>
      <c r="O113" s="23"/>
    </row>
    <row r="114" spans="2:15">
      <c r="B114" s="17" t="s">
        <v>83</v>
      </c>
      <c r="C114" s="331">
        <v>5880</v>
      </c>
      <c r="D114" s="331">
        <v>5101</v>
      </c>
      <c r="E114" s="331">
        <v>7108</v>
      </c>
      <c r="F114" s="331">
        <v>7848</v>
      </c>
      <c r="G114" s="331">
        <v>1390</v>
      </c>
      <c r="H114" s="331">
        <v>1025</v>
      </c>
      <c r="I114" s="331">
        <v>1095</v>
      </c>
      <c r="J114" s="331">
        <v>574</v>
      </c>
      <c r="K114" s="331">
        <v>1019</v>
      </c>
      <c r="L114" s="331">
        <v>1033</v>
      </c>
      <c r="M114" s="152">
        <v>1026</v>
      </c>
      <c r="O114" s="23"/>
    </row>
    <row r="115" spans="2:15">
      <c r="B115" s="17" t="s">
        <v>84</v>
      </c>
      <c r="C115" s="331">
        <v>5373</v>
      </c>
      <c r="D115" s="331">
        <v>4696</v>
      </c>
      <c r="E115" s="331">
        <v>6956</v>
      </c>
      <c r="F115" s="331">
        <v>7289</v>
      </c>
      <c r="G115" s="331">
        <v>1151</v>
      </c>
      <c r="H115" s="331">
        <v>803</v>
      </c>
      <c r="I115" s="331">
        <v>891</v>
      </c>
      <c r="J115" s="331">
        <v>1092</v>
      </c>
      <c r="K115" s="331">
        <v>1456</v>
      </c>
      <c r="L115" s="331">
        <v>1555</v>
      </c>
      <c r="M115" s="152">
        <v>1506</v>
      </c>
      <c r="O115" s="23"/>
    </row>
    <row r="116" spans="2:15">
      <c r="B116" s="17" t="s">
        <v>85</v>
      </c>
      <c r="C116" s="331">
        <v>5093</v>
      </c>
      <c r="D116" s="331">
        <v>4630</v>
      </c>
      <c r="E116" s="331">
        <v>7041</v>
      </c>
      <c r="F116" s="331">
        <v>7925</v>
      </c>
      <c r="G116" s="331">
        <v>1098</v>
      </c>
      <c r="H116" s="331">
        <v>695</v>
      </c>
      <c r="I116" s="331">
        <v>759</v>
      </c>
      <c r="J116" s="331">
        <v>944</v>
      </c>
      <c r="K116" s="331">
        <v>1319</v>
      </c>
      <c r="L116" s="331">
        <v>1432</v>
      </c>
      <c r="M116" s="152">
        <v>1376</v>
      </c>
      <c r="O116" s="23"/>
    </row>
    <row r="117" spans="2:15">
      <c r="B117" s="17" t="s">
        <v>86</v>
      </c>
      <c r="C117" s="331">
        <v>4662</v>
      </c>
      <c r="D117" s="331">
        <v>4153</v>
      </c>
      <c r="E117" s="331">
        <v>6630</v>
      </c>
      <c r="F117" s="331">
        <v>7917</v>
      </c>
      <c r="G117" s="331">
        <v>969</v>
      </c>
      <c r="H117" s="331">
        <v>604</v>
      </c>
      <c r="I117" s="331">
        <v>614</v>
      </c>
      <c r="J117" s="331">
        <v>803</v>
      </c>
      <c r="K117" s="331">
        <v>1125</v>
      </c>
      <c r="L117" s="331">
        <v>1183</v>
      </c>
      <c r="M117" s="152">
        <v>1154</v>
      </c>
      <c r="O117" s="23"/>
    </row>
    <row r="118" spans="2:15">
      <c r="B118" s="17" t="s">
        <v>87</v>
      </c>
      <c r="C118" s="331">
        <v>4622</v>
      </c>
      <c r="D118" s="331">
        <v>3619</v>
      </c>
      <c r="E118" s="331">
        <v>5704</v>
      </c>
      <c r="F118" s="331">
        <v>6934</v>
      </c>
      <c r="G118" s="331">
        <v>767</v>
      </c>
      <c r="H118" s="331">
        <v>446</v>
      </c>
      <c r="I118" s="331">
        <v>481</v>
      </c>
      <c r="J118" s="331">
        <v>622</v>
      </c>
      <c r="K118" s="331">
        <v>881</v>
      </c>
      <c r="L118" s="331">
        <v>966</v>
      </c>
      <c r="M118" s="152">
        <v>924</v>
      </c>
      <c r="O118" s="23"/>
    </row>
    <row r="119" spans="2:15">
      <c r="B119" s="17" t="s">
        <v>88</v>
      </c>
      <c r="C119" s="331">
        <v>2059</v>
      </c>
      <c r="D119" s="331">
        <v>3604</v>
      </c>
      <c r="E119" s="331">
        <v>4938</v>
      </c>
      <c r="F119" s="331">
        <v>5658</v>
      </c>
      <c r="G119" s="331">
        <v>589</v>
      </c>
      <c r="H119" s="331">
        <v>329</v>
      </c>
      <c r="I119" s="331">
        <v>355</v>
      </c>
      <c r="J119" s="331">
        <v>467</v>
      </c>
      <c r="K119" s="331">
        <v>687</v>
      </c>
      <c r="L119" s="331">
        <v>721</v>
      </c>
      <c r="M119" s="152">
        <v>704</v>
      </c>
      <c r="O119" s="23"/>
    </row>
    <row r="120" spans="2:15">
      <c r="B120" s="17" t="s">
        <v>89</v>
      </c>
      <c r="C120" s="331">
        <v>3481</v>
      </c>
      <c r="D120" s="331">
        <v>2685</v>
      </c>
      <c r="E120" s="331">
        <v>3957</v>
      </c>
      <c r="F120" s="331">
        <v>4152</v>
      </c>
      <c r="G120" s="331">
        <v>529</v>
      </c>
      <c r="H120" s="331">
        <v>202</v>
      </c>
      <c r="I120" s="331">
        <v>273</v>
      </c>
      <c r="J120" s="331">
        <v>327</v>
      </c>
      <c r="K120" s="331">
        <v>495</v>
      </c>
      <c r="L120" s="331">
        <v>518</v>
      </c>
      <c r="M120" s="152">
        <v>507</v>
      </c>
      <c r="O120" s="23"/>
    </row>
    <row r="121" spans="2:15">
      <c r="B121" s="17" t="s">
        <v>90</v>
      </c>
      <c r="C121" s="331">
        <v>2898</v>
      </c>
      <c r="D121" s="331">
        <v>2673</v>
      </c>
      <c r="E121" s="331">
        <v>3300</v>
      </c>
      <c r="F121" s="331">
        <v>3458</v>
      </c>
      <c r="G121" s="331">
        <v>903</v>
      </c>
      <c r="H121" s="331">
        <v>233</v>
      </c>
      <c r="I121" s="331">
        <v>203</v>
      </c>
      <c r="J121" s="331">
        <v>226</v>
      </c>
      <c r="K121" s="331">
        <v>384</v>
      </c>
      <c r="L121" s="331">
        <v>381</v>
      </c>
      <c r="M121" s="152">
        <v>383</v>
      </c>
      <c r="O121" s="23"/>
    </row>
    <row r="122" spans="2:15">
      <c r="B122" s="17" t="s">
        <v>91</v>
      </c>
      <c r="C122" s="331">
        <v>1814</v>
      </c>
      <c r="D122" s="331">
        <v>1385</v>
      </c>
      <c r="E122" s="331">
        <v>1902</v>
      </c>
      <c r="F122" s="331">
        <v>2335</v>
      </c>
      <c r="G122" s="331">
        <v>720</v>
      </c>
      <c r="H122" s="331">
        <v>343</v>
      </c>
      <c r="I122" s="331">
        <v>202</v>
      </c>
      <c r="J122" s="331">
        <v>150</v>
      </c>
      <c r="K122" s="331">
        <v>278</v>
      </c>
      <c r="L122" s="331">
        <v>300</v>
      </c>
      <c r="M122" s="152">
        <v>289</v>
      </c>
      <c r="O122" s="23"/>
    </row>
    <row r="123" spans="2:15">
      <c r="B123" s="17" t="s">
        <v>92</v>
      </c>
      <c r="C123" s="331">
        <v>1338</v>
      </c>
      <c r="D123" s="331">
        <v>1249</v>
      </c>
      <c r="E123" s="331">
        <v>1627</v>
      </c>
      <c r="F123" s="331">
        <v>1496</v>
      </c>
      <c r="G123" s="331">
        <v>488</v>
      </c>
      <c r="H123" s="331">
        <v>173</v>
      </c>
      <c r="I123" s="331">
        <v>371</v>
      </c>
      <c r="J123" s="331">
        <v>110</v>
      </c>
      <c r="K123" s="331">
        <v>214</v>
      </c>
      <c r="L123" s="331">
        <v>218</v>
      </c>
      <c r="M123" s="152">
        <v>216</v>
      </c>
      <c r="O123" s="23"/>
    </row>
    <row r="124" spans="2:15">
      <c r="B124" s="17" t="s">
        <v>95</v>
      </c>
      <c r="C124" s="331">
        <v>1590</v>
      </c>
      <c r="D124" s="331">
        <v>1417</v>
      </c>
      <c r="E124" s="331">
        <v>1710</v>
      </c>
      <c r="F124" s="331">
        <v>2002</v>
      </c>
      <c r="G124" s="331">
        <v>546</v>
      </c>
      <c r="H124" s="331">
        <v>186</v>
      </c>
      <c r="I124" s="331">
        <v>321</v>
      </c>
      <c r="J124" s="331">
        <v>130</v>
      </c>
      <c r="K124" s="331">
        <v>326</v>
      </c>
      <c r="L124" s="331">
        <v>324</v>
      </c>
      <c r="M124" s="152">
        <v>325</v>
      </c>
      <c r="O124" s="23"/>
    </row>
    <row r="125" spans="2:15">
      <c r="B125" s="17" t="s">
        <v>96</v>
      </c>
      <c r="C125" s="331">
        <v>76</v>
      </c>
      <c r="D125" s="331">
        <v>68</v>
      </c>
      <c r="E125" s="331">
        <v>82</v>
      </c>
      <c r="F125" s="331">
        <v>96</v>
      </c>
      <c r="G125" s="331">
        <v>26</v>
      </c>
      <c r="H125" s="331">
        <v>9</v>
      </c>
      <c r="I125" s="331">
        <v>15</v>
      </c>
      <c r="J125" s="331">
        <v>6</v>
      </c>
      <c r="K125" s="331">
        <v>16</v>
      </c>
      <c r="L125" s="331">
        <v>16</v>
      </c>
      <c r="M125" s="152">
        <v>14</v>
      </c>
      <c r="O125" s="23"/>
    </row>
    <row r="126" spans="2:15">
      <c r="B126" s="17" t="s">
        <v>93</v>
      </c>
      <c r="C126" s="331">
        <v>31</v>
      </c>
      <c r="D126" s="331">
        <v>27</v>
      </c>
      <c r="E126" s="331">
        <v>33</v>
      </c>
      <c r="F126" s="331">
        <v>38</v>
      </c>
      <c r="G126" s="331">
        <v>10</v>
      </c>
      <c r="H126" s="331">
        <v>4</v>
      </c>
      <c r="I126" s="331">
        <v>6</v>
      </c>
      <c r="J126" s="331">
        <v>2</v>
      </c>
      <c r="K126" s="331">
        <v>6</v>
      </c>
      <c r="L126" s="331">
        <v>6</v>
      </c>
      <c r="M126" s="152">
        <v>7</v>
      </c>
      <c r="O126" s="23"/>
    </row>
    <row r="127" spans="2:15">
      <c r="B127" s="17" t="s">
        <v>97</v>
      </c>
      <c r="C127" s="331">
        <v>15</v>
      </c>
      <c r="D127" s="331">
        <v>13</v>
      </c>
      <c r="E127" s="331">
        <v>16</v>
      </c>
      <c r="F127" s="331">
        <v>19</v>
      </c>
      <c r="G127" s="331">
        <v>5</v>
      </c>
      <c r="H127" s="331">
        <v>2</v>
      </c>
      <c r="I127" s="331">
        <v>3</v>
      </c>
      <c r="J127" s="331">
        <v>1</v>
      </c>
      <c r="K127" s="331">
        <v>3</v>
      </c>
      <c r="L127" s="331">
        <v>3</v>
      </c>
      <c r="M127" s="152">
        <v>2</v>
      </c>
      <c r="O127" s="23"/>
    </row>
    <row r="128" spans="2:15">
      <c r="B128" s="3" t="s">
        <v>136</v>
      </c>
      <c r="C128" s="331">
        <v>504</v>
      </c>
      <c r="D128" s="331">
        <v>449</v>
      </c>
      <c r="E128" s="331">
        <v>543</v>
      </c>
      <c r="F128" s="331">
        <v>635</v>
      </c>
      <c r="G128" s="331">
        <v>173</v>
      </c>
      <c r="H128" s="331">
        <v>59</v>
      </c>
      <c r="I128" s="331">
        <v>102</v>
      </c>
      <c r="J128" s="331">
        <v>41</v>
      </c>
      <c r="K128" s="331">
        <v>103</v>
      </c>
      <c r="L128" s="331">
        <v>103</v>
      </c>
      <c r="M128" s="152">
        <v>101</v>
      </c>
      <c r="O128" s="23"/>
    </row>
    <row r="129" spans="2:15">
      <c r="B129" s="19" t="s">
        <v>94</v>
      </c>
      <c r="C129" s="44"/>
      <c r="D129" s="41"/>
      <c r="E129" s="41"/>
      <c r="F129" s="41"/>
      <c r="G129" s="44"/>
      <c r="H129" s="41"/>
      <c r="I129" s="41"/>
      <c r="J129" s="41"/>
      <c r="K129" s="41"/>
      <c r="L129" s="44"/>
      <c r="M129" s="153"/>
      <c r="N129" s="35"/>
      <c r="O129" s="27"/>
    </row>
    <row r="130" spans="2:15" s="9" customFormat="1">
      <c r="B130" s="38"/>
      <c r="C130" s="51"/>
      <c r="D130" s="24"/>
      <c r="E130" s="24"/>
      <c r="F130" s="24"/>
      <c r="G130" s="51"/>
      <c r="H130" s="24"/>
      <c r="I130" s="24"/>
      <c r="J130" s="24"/>
      <c r="K130" s="24"/>
      <c r="L130" s="22"/>
      <c r="M130" s="24"/>
      <c r="N130" s="24"/>
      <c r="O130" s="22"/>
    </row>
    <row r="131" spans="2:15" s="9" customFormat="1">
      <c r="B131" s="38"/>
      <c r="C131" s="51"/>
      <c r="D131" s="24"/>
      <c r="E131" s="24"/>
      <c r="F131" s="24"/>
      <c r="G131" s="51"/>
      <c r="H131" s="24"/>
      <c r="I131" s="24"/>
      <c r="J131" s="24"/>
      <c r="K131" s="24"/>
      <c r="L131" s="22"/>
      <c r="M131" s="24"/>
      <c r="N131" s="24"/>
      <c r="O131" s="22"/>
    </row>
    <row r="132" spans="2:15" s="9" customFormat="1">
      <c r="B132" s="38"/>
      <c r="C132" s="51"/>
      <c r="D132" s="24"/>
      <c r="E132" s="24"/>
      <c r="F132" s="24"/>
      <c r="G132" s="51"/>
      <c r="H132" s="24"/>
      <c r="I132" s="24"/>
      <c r="J132" s="24"/>
      <c r="K132" s="24"/>
      <c r="L132" s="22"/>
      <c r="M132" s="24"/>
      <c r="N132" s="24"/>
      <c r="O132" s="22"/>
    </row>
    <row r="133" spans="2:15" s="9" customFormat="1">
      <c r="B133" s="38"/>
      <c r="C133" s="51"/>
      <c r="D133" s="24"/>
      <c r="E133" s="24"/>
      <c r="F133" s="24"/>
      <c r="G133" s="51"/>
      <c r="H133" s="24"/>
      <c r="I133" s="24"/>
      <c r="J133" s="24"/>
      <c r="K133" s="24"/>
      <c r="L133" s="22"/>
      <c r="M133" s="24"/>
      <c r="N133" s="24"/>
      <c r="O133" s="22"/>
    </row>
    <row r="134" spans="2:15" s="9" customFormat="1">
      <c r="B134" s="38"/>
      <c r="C134" s="51"/>
      <c r="D134" s="24"/>
      <c r="E134" s="24"/>
      <c r="F134" s="24"/>
      <c r="G134" s="51"/>
      <c r="H134" s="24"/>
      <c r="I134" s="24"/>
      <c r="J134" s="24"/>
      <c r="K134" s="24"/>
      <c r="L134" s="22"/>
      <c r="M134" s="24"/>
      <c r="N134" s="24"/>
      <c r="O134" s="22"/>
    </row>
    <row r="136" spans="2:15">
      <c r="B136" s="10" t="s">
        <v>150</v>
      </c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56"/>
      <c r="N136" s="156"/>
      <c r="O136" s="37"/>
    </row>
    <row r="137" spans="2:15">
      <c r="B137" s="17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O137" s="23"/>
    </row>
    <row r="138" spans="2:15">
      <c r="B138" s="17"/>
      <c r="C138" s="25" t="s">
        <v>0</v>
      </c>
      <c r="D138" s="25" t="s">
        <v>1</v>
      </c>
      <c r="E138" s="25" t="s">
        <v>2</v>
      </c>
      <c r="F138" s="25" t="s">
        <v>3</v>
      </c>
      <c r="G138" s="25" t="s">
        <v>4</v>
      </c>
      <c r="H138" s="25" t="s">
        <v>5</v>
      </c>
      <c r="I138" s="25" t="s">
        <v>6</v>
      </c>
      <c r="J138" s="25" t="s">
        <v>7</v>
      </c>
      <c r="K138" s="25" t="s">
        <v>8</v>
      </c>
      <c r="L138" s="25">
        <v>2011</v>
      </c>
      <c r="M138" s="152">
        <v>2012</v>
      </c>
      <c r="N138" s="157"/>
      <c r="O138" s="96"/>
    </row>
    <row r="139" spans="2:15">
      <c r="B139" s="17" t="s">
        <v>102</v>
      </c>
      <c r="C139" s="332">
        <v>1130</v>
      </c>
      <c r="D139" s="332">
        <v>1130</v>
      </c>
      <c r="E139" s="332">
        <v>2008</v>
      </c>
      <c r="F139" s="332">
        <v>999</v>
      </c>
      <c r="G139" s="332">
        <v>876</v>
      </c>
      <c r="H139" s="332">
        <v>897</v>
      </c>
      <c r="I139" s="332">
        <v>1209</v>
      </c>
      <c r="J139" s="332">
        <v>91</v>
      </c>
      <c r="K139" s="332">
        <v>700</v>
      </c>
      <c r="L139" s="332">
        <v>977</v>
      </c>
      <c r="M139" s="152">
        <v>839</v>
      </c>
      <c r="O139" s="23"/>
    </row>
    <row r="140" spans="2:15">
      <c r="B140" s="17" t="s">
        <v>98</v>
      </c>
      <c r="C140" s="332">
        <v>20184</v>
      </c>
      <c r="D140" s="332">
        <v>20497</v>
      </c>
      <c r="E140" s="332">
        <v>18283</v>
      </c>
      <c r="F140" s="332">
        <v>16903</v>
      </c>
      <c r="G140" s="332">
        <v>18526</v>
      </c>
      <c r="H140" s="332">
        <v>18491</v>
      </c>
      <c r="I140" s="332">
        <v>20347</v>
      </c>
      <c r="J140" s="332">
        <v>5918</v>
      </c>
      <c r="K140" s="332">
        <v>6386</v>
      </c>
      <c r="L140" s="332">
        <v>6105</v>
      </c>
      <c r="M140" s="152">
        <v>6246</v>
      </c>
      <c r="O140" s="23"/>
    </row>
    <row r="141" spans="2:15">
      <c r="B141" s="17" t="s">
        <v>99</v>
      </c>
      <c r="C141" s="332">
        <v>19295</v>
      </c>
      <c r="D141" s="332">
        <v>17734</v>
      </c>
      <c r="E141" s="332">
        <v>17622</v>
      </c>
      <c r="F141" s="332">
        <v>18266</v>
      </c>
      <c r="G141" s="332">
        <v>18587</v>
      </c>
      <c r="H141" s="332">
        <v>18484</v>
      </c>
      <c r="I141" s="332">
        <v>20390</v>
      </c>
      <c r="J141" s="332">
        <v>6924</v>
      </c>
      <c r="K141" s="332">
        <v>8517</v>
      </c>
      <c r="L141" s="332">
        <v>8579</v>
      </c>
      <c r="M141" s="152">
        <v>8548</v>
      </c>
      <c r="O141" s="23"/>
    </row>
    <row r="142" spans="2:15">
      <c r="B142" s="17" t="s">
        <v>83</v>
      </c>
      <c r="C142" s="332">
        <v>32685</v>
      </c>
      <c r="D142" s="332">
        <v>34101</v>
      </c>
      <c r="E142" s="332">
        <v>30573</v>
      </c>
      <c r="F142" s="332">
        <v>29527</v>
      </c>
      <c r="G142" s="332">
        <v>33769</v>
      </c>
      <c r="H142" s="332">
        <v>33113</v>
      </c>
      <c r="I142" s="332">
        <v>37124</v>
      </c>
      <c r="J142" s="332">
        <v>13781</v>
      </c>
      <c r="K142" s="332">
        <v>16654</v>
      </c>
      <c r="L142" s="332">
        <v>16935</v>
      </c>
      <c r="M142" s="152">
        <v>16795</v>
      </c>
      <c r="O142" s="23"/>
    </row>
    <row r="143" spans="2:15">
      <c r="B143" s="17" t="s">
        <v>84</v>
      </c>
      <c r="C143" s="332">
        <v>28025</v>
      </c>
      <c r="D143" s="332">
        <v>29107</v>
      </c>
      <c r="E143" s="332">
        <v>26483</v>
      </c>
      <c r="F143" s="332">
        <v>25737</v>
      </c>
      <c r="G143" s="332">
        <v>29741</v>
      </c>
      <c r="H143" s="332">
        <v>29832</v>
      </c>
      <c r="I143" s="332">
        <v>33644</v>
      </c>
      <c r="J143" s="332">
        <v>29332</v>
      </c>
      <c r="K143" s="332">
        <v>32672</v>
      </c>
      <c r="L143" s="332">
        <v>31820</v>
      </c>
      <c r="M143" s="152">
        <v>32246</v>
      </c>
      <c r="O143" s="23"/>
    </row>
    <row r="144" spans="2:15">
      <c r="B144" s="17" t="s">
        <v>85</v>
      </c>
      <c r="C144" s="332">
        <v>25277</v>
      </c>
      <c r="D144" s="332">
        <v>26230</v>
      </c>
      <c r="E144" s="332">
        <v>23455</v>
      </c>
      <c r="F144" s="332">
        <v>23984</v>
      </c>
      <c r="G144" s="332">
        <v>27756</v>
      </c>
      <c r="H144" s="332">
        <v>27191</v>
      </c>
      <c r="I144" s="332">
        <v>31191</v>
      </c>
      <c r="J144" s="332">
        <v>27313</v>
      </c>
      <c r="K144" s="332">
        <v>30172</v>
      </c>
      <c r="L144" s="332">
        <v>29808</v>
      </c>
      <c r="M144" s="152">
        <v>29990</v>
      </c>
      <c r="O144" s="23"/>
    </row>
    <row r="145" spans="2:15">
      <c r="B145" s="17" t="s">
        <v>86</v>
      </c>
      <c r="C145" s="332">
        <v>20803</v>
      </c>
      <c r="D145" s="332">
        <v>21768</v>
      </c>
      <c r="E145" s="332">
        <v>19762</v>
      </c>
      <c r="F145" s="332">
        <v>19822</v>
      </c>
      <c r="G145" s="332">
        <v>24286</v>
      </c>
      <c r="H145" s="332">
        <v>23279</v>
      </c>
      <c r="I145" s="332">
        <v>26355</v>
      </c>
      <c r="J145" s="332">
        <v>23549</v>
      </c>
      <c r="K145" s="332">
        <v>25940</v>
      </c>
      <c r="L145" s="332">
        <v>25256</v>
      </c>
      <c r="M145" s="152">
        <v>25598</v>
      </c>
      <c r="O145" s="23"/>
    </row>
    <row r="146" spans="2:15">
      <c r="B146" s="17" t="s">
        <v>87</v>
      </c>
      <c r="C146" s="332">
        <v>16011</v>
      </c>
      <c r="D146" s="332">
        <v>17004</v>
      </c>
      <c r="E146" s="332">
        <v>15348</v>
      </c>
      <c r="F146" s="332">
        <v>15553</v>
      </c>
      <c r="G146" s="332">
        <v>19199</v>
      </c>
      <c r="H146" s="332">
        <v>19357</v>
      </c>
      <c r="I146" s="332">
        <v>21526</v>
      </c>
      <c r="J146" s="332">
        <v>18588</v>
      </c>
      <c r="K146" s="332">
        <v>20535</v>
      </c>
      <c r="L146" s="332">
        <v>19823</v>
      </c>
      <c r="M146" s="152">
        <v>20179</v>
      </c>
      <c r="O146" s="23"/>
    </row>
    <row r="147" spans="2:15">
      <c r="B147" s="17" t="s">
        <v>88</v>
      </c>
      <c r="C147" s="332">
        <v>11041</v>
      </c>
      <c r="D147" s="332">
        <v>13331</v>
      </c>
      <c r="E147" s="332">
        <v>17691</v>
      </c>
      <c r="F147" s="332">
        <v>11776</v>
      </c>
      <c r="G147" s="332">
        <v>14541</v>
      </c>
      <c r="H147" s="332">
        <v>14579</v>
      </c>
      <c r="I147" s="332">
        <v>17242</v>
      </c>
      <c r="J147" s="332">
        <v>14009</v>
      </c>
      <c r="K147" s="332">
        <v>15314</v>
      </c>
      <c r="L147" s="332">
        <v>14756</v>
      </c>
      <c r="M147" s="152">
        <v>15035</v>
      </c>
      <c r="O147" s="23"/>
    </row>
    <row r="148" spans="2:15">
      <c r="B148" s="17" t="s">
        <v>89</v>
      </c>
      <c r="C148" s="332">
        <v>8654</v>
      </c>
      <c r="D148" s="332">
        <v>9431</v>
      </c>
      <c r="E148" s="332">
        <v>6066</v>
      </c>
      <c r="F148" s="332">
        <v>7983</v>
      </c>
      <c r="G148" s="332">
        <v>10386</v>
      </c>
      <c r="H148" s="332">
        <v>10714</v>
      </c>
      <c r="I148" s="332">
        <v>13082</v>
      </c>
      <c r="J148" s="332">
        <v>10960</v>
      </c>
      <c r="K148" s="332">
        <v>11413</v>
      </c>
      <c r="L148" s="332">
        <v>10673</v>
      </c>
      <c r="M148" s="152">
        <v>11043</v>
      </c>
      <c r="O148" s="23"/>
    </row>
    <row r="149" spans="2:15">
      <c r="B149" s="17" t="s">
        <v>90</v>
      </c>
      <c r="C149" s="332">
        <v>6286</v>
      </c>
      <c r="D149" s="332">
        <v>7025</v>
      </c>
      <c r="E149" s="332">
        <v>4872</v>
      </c>
      <c r="F149" s="332">
        <v>5822</v>
      </c>
      <c r="G149" s="332">
        <v>7237</v>
      </c>
      <c r="H149" s="332">
        <v>7758</v>
      </c>
      <c r="I149" s="332">
        <v>9788</v>
      </c>
      <c r="J149" s="332">
        <v>8227</v>
      </c>
      <c r="K149" s="332">
        <v>8876</v>
      </c>
      <c r="L149" s="332">
        <v>7816</v>
      </c>
      <c r="M149" s="152">
        <v>8346</v>
      </c>
      <c r="O149" s="23"/>
    </row>
    <row r="150" spans="2:15">
      <c r="B150" s="17" t="s">
        <v>91</v>
      </c>
      <c r="C150" s="332">
        <v>4370</v>
      </c>
      <c r="D150" s="332">
        <v>4704</v>
      </c>
      <c r="E150" s="332">
        <v>3322</v>
      </c>
      <c r="F150" s="332">
        <v>4193</v>
      </c>
      <c r="G150" s="332">
        <v>5367</v>
      </c>
      <c r="H150" s="332">
        <v>5355</v>
      </c>
      <c r="I150" s="332">
        <v>7414</v>
      </c>
      <c r="J150" s="332">
        <v>6185</v>
      </c>
      <c r="K150" s="332">
        <v>6586</v>
      </c>
      <c r="L150" s="332">
        <v>6129</v>
      </c>
      <c r="M150" s="152">
        <v>6358</v>
      </c>
      <c r="O150" s="23"/>
    </row>
    <row r="151" spans="2:15">
      <c r="B151" s="17" t="s">
        <v>92</v>
      </c>
      <c r="C151" s="332">
        <v>3270</v>
      </c>
      <c r="D151" s="332">
        <v>3671</v>
      </c>
      <c r="E151" s="332">
        <v>2788</v>
      </c>
      <c r="F151" s="332">
        <v>2996</v>
      </c>
      <c r="G151" s="332">
        <v>3770</v>
      </c>
      <c r="H151" s="332">
        <v>3996</v>
      </c>
      <c r="I151" s="332">
        <v>5827</v>
      </c>
      <c r="J151" s="332">
        <v>4552</v>
      </c>
      <c r="K151" s="332">
        <v>4823</v>
      </c>
      <c r="L151" s="332">
        <v>4322</v>
      </c>
      <c r="M151" s="152">
        <v>4573</v>
      </c>
      <c r="O151" s="23"/>
    </row>
    <row r="152" spans="2:15">
      <c r="B152" s="17" t="s">
        <v>95</v>
      </c>
      <c r="C152" s="332">
        <v>2756</v>
      </c>
      <c r="D152" s="332">
        <v>3000</v>
      </c>
      <c r="E152" s="332">
        <v>2408</v>
      </c>
      <c r="F152" s="332">
        <v>2536</v>
      </c>
      <c r="G152" s="332">
        <v>2941</v>
      </c>
      <c r="H152" s="332">
        <v>3070</v>
      </c>
      <c r="I152" s="332">
        <v>4788</v>
      </c>
      <c r="J152" s="332">
        <v>3676</v>
      </c>
      <c r="K152" s="332">
        <v>4359</v>
      </c>
      <c r="L152" s="332">
        <v>4094</v>
      </c>
      <c r="M152" s="152">
        <v>4227</v>
      </c>
      <c r="O152" s="23"/>
    </row>
    <row r="153" spans="2:15">
      <c r="B153" s="17" t="s">
        <v>96</v>
      </c>
      <c r="C153" s="332">
        <v>1985</v>
      </c>
      <c r="D153" s="332">
        <v>2161</v>
      </c>
      <c r="E153" s="332">
        <v>1735</v>
      </c>
      <c r="F153" s="332">
        <v>1827</v>
      </c>
      <c r="G153" s="332">
        <v>2118</v>
      </c>
      <c r="H153" s="332">
        <v>2212</v>
      </c>
      <c r="I153" s="332">
        <v>3449</v>
      </c>
      <c r="J153" s="332">
        <v>2648</v>
      </c>
      <c r="K153" s="332">
        <v>3140</v>
      </c>
      <c r="L153" s="332">
        <v>2949</v>
      </c>
      <c r="M153" s="152">
        <v>3045</v>
      </c>
      <c r="O153" s="23"/>
    </row>
    <row r="154" spans="2:15">
      <c r="B154" s="17" t="s">
        <v>93</v>
      </c>
      <c r="C154" s="332">
        <v>1281</v>
      </c>
      <c r="D154" s="332">
        <v>1394</v>
      </c>
      <c r="E154" s="332">
        <v>1119</v>
      </c>
      <c r="F154" s="332">
        <v>1179</v>
      </c>
      <c r="G154" s="332">
        <v>1367</v>
      </c>
      <c r="H154" s="332">
        <v>1427</v>
      </c>
      <c r="I154" s="332">
        <v>2225</v>
      </c>
      <c r="J154" s="332">
        <v>1708</v>
      </c>
      <c r="K154" s="332">
        <v>2026</v>
      </c>
      <c r="L154" s="332">
        <v>1903</v>
      </c>
      <c r="M154" s="152">
        <v>1965</v>
      </c>
      <c r="O154" s="23"/>
    </row>
    <row r="155" spans="2:15">
      <c r="B155" s="17" t="s">
        <v>97</v>
      </c>
      <c r="C155" s="332">
        <v>705</v>
      </c>
      <c r="D155" s="332">
        <v>767</v>
      </c>
      <c r="E155" s="332">
        <v>616</v>
      </c>
      <c r="F155" s="332">
        <v>649</v>
      </c>
      <c r="G155" s="332">
        <v>752</v>
      </c>
      <c r="H155" s="332">
        <v>785</v>
      </c>
      <c r="I155" s="332">
        <v>1225</v>
      </c>
      <c r="J155" s="332">
        <v>940</v>
      </c>
      <c r="K155" s="332">
        <v>1115</v>
      </c>
      <c r="L155" s="332">
        <v>1047</v>
      </c>
      <c r="M155" s="152">
        <v>1081</v>
      </c>
      <c r="O155" s="23"/>
    </row>
    <row r="156" spans="2:15">
      <c r="B156" s="3" t="s">
        <v>136</v>
      </c>
      <c r="C156" s="332">
        <v>992</v>
      </c>
      <c r="D156" s="332">
        <v>1079</v>
      </c>
      <c r="E156" s="332">
        <v>866</v>
      </c>
      <c r="F156" s="332">
        <v>913</v>
      </c>
      <c r="G156" s="332">
        <v>1058</v>
      </c>
      <c r="H156" s="332">
        <v>1105</v>
      </c>
      <c r="I156" s="332">
        <v>1723</v>
      </c>
      <c r="J156" s="332">
        <v>1322</v>
      </c>
      <c r="K156" s="332">
        <v>1568</v>
      </c>
      <c r="L156" s="332">
        <v>1473</v>
      </c>
      <c r="M156" s="152">
        <v>1521</v>
      </c>
      <c r="O156" s="23"/>
    </row>
    <row r="157" spans="2:15">
      <c r="B157" s="19" t="s">
        <v>94</v>
      </c>
      <c r="C157" s="139"/>
      <c r="D157" s="52"/>
      <c r="E157" s="52"/>
      <c r="F157" s="52"/>
      <c r="G157" s="41"/>
      <c r="H157" s="41"/>
      <c r="I157" s="41"/>
      <c r="J157" s="41"/>
      <c r="K157" s="41"/>
      <c r="L157" s="44"/>
      <c r="M157" s="153"/>
      <c r="N157" s="35"/>
      <c r="O157" s="27"/>
    </row>
    <row r="158" spans="2:15" s="9" customFormat="1">
      <c r="B158" s="38"/>
      <c r="C158" s="40"/>
      <c r="D158" s="40"/>
      <c r="E158" s="40"/>
      <c r="F158" s="40"/>
      <c r="G158" s="40"/>
      <c r="H158" s="40"/>
      <c r="I158" s="40"/>
      <c r="J158" s="40"/>
      <c r="K158" s="40"/>
      <c r="L158" s="22"/>
      <c r="M158" s="24"/>
      <c r="N158" s="24"/>
      <c r="O158" s="22"/>
    </row>
    <row r="159" spans="2:15" s="9" customFormat="1">
      <c r="B159" s="38"/>
      <c r="C159" s="51"/>
      <c r="D159" s="24"/>
      <c r="E159" s="24"/>
      <c r="F159" s="24"/>
      <c r="G159" s="51"/>
      <c r="H159" s="24"/>
      <c r="I159" s="24"/>
      <c r="J159" s="24"/>
      <c r="K159" s="24"/>
      <c r="L159" s="22"/>
      <c r="M159" s="24"/>
      <c r="N159" s="24"/>
      <c r="O159" s="22"/>
    </row>
    <row r="160" spans="2:15" s="9" customFormat="1">
      <c r="B160" s="38"/>
      <c r="C160" s="51"/>
      <c r="D160" s="24"/>
      <c r="E160" s="24"/>
      <c r="F160" s="24"/>
      <c r="G160" s="51"/>
      <c r="H160" s="24"/>
      <c r="I160" s="24"/>
      <c r="J160" s="24"/>
      <c r="K160" s="24"/>
      <c r="L160" s="22"/>
      <c r="M160" s="24"/>
      <c r="N160" s="24"/>
      <c r="O160" s="22"/>
    </row>
    <row r="162" spans="2:16">
      <c r="B162" s="10" t="s">
        <v>151</v>
      </c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56"/>
      <c r="N162" s="156"/>
      <c r="O162" s="37"/>
      <c r="P162" s="25"/>
    </row>
    <row r="163" spans="2:16">
      <c r="B163" s="12"/>
      <c r="C163" s="76"/>
      <c r="D163" s="13"/>
      <c r="E163" s="13"/>
      <c r="F163" s="13"/>
      <c r="G163" s="13"/>
      <c r="H163" s="13"/>
      <c r="I163" s="13"/>
      <c r="J163" s="13"/>
      <c r="K163" s="13"/>
      <c r="L163" s="13"/>
      <c r="O163" s="23"/>
      <c r="P163" s="25"/>
    </row>
    <row r="164" spans="2:16">
      <c r="B164" s="12"/>
      <c r="C164" s="25" t="s">
        <v>0</v>
      </c>
      <c r="D164" s="25" t="s">
        <v>1</v>
      </c>
      <c r="E164" s="25" t="s">
        <v>2</v>
      </c>
      <c r="F164" s="25" t="s">
        <v>3</v>
      </c>
      <c r="G164" s="25" t="s">
        <v>4</v>
      </c>
      <c r="H164" s="25" t="s">
        <v>5</v>
      </c>
      <c r="I164" s="25" t="s">
        <v>6</v>
      </c>
      <c r="J164" s="25" t="s">
        <v>7</v>
      </c>
      <c r="K164" s="25" t="s">
        <v>8</v>
      </c>
      <c r="L164" s="25">
        <v>2011</v>
      </c>
      <c r="M164" s="152">
        <v>2012</v>
      </c>
      <c r="N164" s="157"/>
      <c r="O164" s="96"/>
      <c r="P164" s="25"/>
    </row>
    <row r="165" spans="2:16">
      <c r="B165" s="17" t="s">
        <v>102</v>
      </c>
      <c r="C165" s="333">
        <v>20</v>
      </c>
      <c r="D165" s="333">
        <v>18</v>
      </c>
      <c r="E165" s="333">
        <v>11</v>
      </c>
      <c r="F165" s="333">
        <v>9</v>
      </c>
      <c r="G165" s="333">
        <v>6</v>
      </c>
      <c r="H165" s="333">
        <v>4</v>
      </c>
      <c r="I165" s="333">
        <v>3</v>
      </c>
      <c r="J165" s="333">
        <v>2</v>
      </c>
      <c r="K165" s="333">
        <v>3</v>
      </c>
      <c r="L165" s="333">
        <v>0</v>
      </c>
      <c r="M165" s="152">
        <v>0</v>
      </c>
      <c r="O165" s="55"/>
      <c r="P165" s="49"/>
    </row>
    <row r="166" spans="2:16">
      <c r="B166" s="12" t="s">
        <v>98</v>
      </c>
      <c r="C166" s="333">
        <v>19</v>
      </c>
      <c r="D166" s="333">
        <v>40</v>
      </c>
      <c r="E166" s="333">
        <v>73</v>
      </c>
      <c r="F166" s="333">
        <v>73</v>
      </c>
      <c r="G166" s="333">
        <v>69</v>
      </c>
      <c r="H166" s="333">
        <v>52</v>
      </c>
      <c r="I166" s="333">
        <v>52</v>
      </c>
      <c r="J166" s="333">
        <v>5</v>
      </c>
      <c r="K166" s="333">
        <v>2</v>
      </c>
      <c r="L166" s="333">
        <v>2</v>
      </c>
      <c r="M166" s="152">
        <v>1</v>
      </c>
      <c r="O166" s="55"/>
      <c r="P166" s="49"/>
    </row>
    <row r="167" spans="2:16">
      <c r="B167" s="12" t="s">
        <v>99</v>
      </c>
      <c r="C167" s="333">
        <v>43</v>
      </c>
      <c r="D167" s="333">
        <v>40</v>
      </c>
      <c r="E167" s="333">
        <v>79</v>
      </c>
      <c r="F167" s="333">
        <v>80</v>
      </c>
      <c r="G167" s="333">
        <v>69</v>
      </c>
      <c r="H167" s="333">
        <v>49</v>
      </c>
      <c r="I167" s="333">
        <v>44</v>
      </c>
      <c r="J167" s="333">
        <v>3</v>
      </c>
      <c r="K167" s="333">
        <v>2</v>
      </c>
      <c r="L167" s="333">
        <v>2</v>
      </c>
      <c r="M167" s="152">
        <v>3</v>
      </c>
      <c r="O167" s="55"/>
      <c r="P167" s="49"/>
    </row>
    <row r="168" spans="2:16">
      <c r="B168" s="12" t="s">
        <v>83</v>
      </c>
      <c r="C168" s="333">
        <v>37</v>
      </c>
      <c r="D168" s="333">
        <v>62</v>
      </c>
      <c r="E168" s="333">
        <v>135</v>
      </c>
      <c r="F168" s="333">
        <v>136</v>
      </c>
      <c r="G168" s="333">
        <v>103</v>
      </c>
      <c r="H168" s="333">
        <v>88</v>
      </c>
      <c r="I168" s="333">
        <v>77</v>
      </c>
      <c r="J168" s="333">
        <v>9</v>
      </c>
      <c r="K168" s="333">
        <v>6</v>
      </c>
      <c r="L168" s="333">
        <v>4</v>
      </c>
      <c r="M168" s="152">
        <v>1</v>
      </c>
      <c r="O168" s="55"/>
      <c r="P168" s="49"/>
    </row>
    <row r="169" spans="2:16">
      <c r="B169" s="12" t="s">
        <v>84</v>
      </c>
      <c r="C169" s="333">
        <v>36</v>
      </c>
      <c r="D169" s="333">
        <v>68</v>
      </c>
      <c r="E169" s="333">
        <v>106</v>
      </c>
      <c r="F169" s="333">
        <v>118</v>
      </c>
      <c r="G169" s="333">
        <v>101</v>
      </c>
      <c r="H169" s="333">
        <v>82</v>
      </c>
      <c r="I169" s="333">
        <v>68</v>
      </c>
      <c r="J169" s="333">
        <v>37</v>
      </c>
      <c r="K169" s="333">
        <v>53</v>
      </c>
      <c r="L169" s="333">
        <v>44</v>
      </c>
      <c r="M169" s="152">
        <v>35</v>
      </c>
      <c r="O169" s="55"/>
      <c r="P169" s="49"/>
    </row>
    <row r="170" spans="2:16">
      <c r="B170" s="12" t="s">
        <v>85</v>
      </c>
      <c r="C170" s="333">
        <v>39</v>
      </c>
      <c r="D170" s="333">
        <v>65</v>
      </c>
      <c r="E170" s="333">
        <v>92</v>
      </c>
      <c r="F170" s="333">
        <v>95</v>
      </c>
      <c r="G170" s="333">
        <v>79</v>
      </c>
      <c r="H170" s="333">
        <v>64</v>
      </c>
      <c r="I170" s="333">
        <v>57</v>
      </c>
      <c r="J170" s="333">
        <v>40</v>
      </c>
      <c r="K170" s="333">
        <v>39</v>
      </c>
      <c r="L170" s="333">
        <v>40</v>
      </c>
      <c r="M170" s="152">
        <v>39</v>
      </c>
      <c r="O170" s="55"/>
      <c r="P170" s="49"/>
    </row>
    <row r="171" spans="2:16">
      <c r="B171" s="12" t="s">
        <v>86</v>
      </c>
      <c r="C171" s="333">
        <v>76</v>
      </c>
      <c r="D171" s="333">
        <v>66</v>
      </c>
      <c r="E171" s="333">
        <v>71</v>
      </c>
      <c r="F171" s="333">
        <v>91</v>
      </c>
      <c r="G171" s="333">
        <v>71</v>
      </c>
      <c r="H171" s="333">
        <v>59</v>
      </c>
      <c r="I171" s="333">
        <v>40</v>
      </c>
      <c r="J171" s="333">
        <v>28</v>
      </c>
      <c r="K171" s="333">
        <v>33</v>
      </c>
      <c r="L171" s="333">
        <v>31</v>
      </c>
      <c r="M171" s="152">
        <v>28</v>
      </c>
      <c r="O171" s="55"/>
      <c r="P171" s="49"/>
    </row>
    <row r="172" spans="2:16">
      <c r="B172" s="12" t="s">
        <v>87</v>
      </c>
      <c r="C172" s="333">
        <v>96</v>
      </c>
      <c r="D172" s="333">
        <v>72</v>
      </c>
      <c r="E172" s="333">
        <v>57</v>
      </c>
      <c r="F172" s="333">
        <v>61</v>
      </c>
      <c r="G172" s="333">
        <v>53</v>
      </c>
      <c r="H172" s="333">
        <v>36</v>
      </c>
      <c r="I172" s="333">
        <v>30</v>
      </c>
      <c r="J172" s="333">
        <v>16</v>
      </c>
      <c r="K172" s="333">
        <v>19</v>
      </c>
      <c r="L172" s="333">
        <v>22</v>
      </c>
      <c r="M172" s="152">
        <v>16</v>
      </c>
      <c r="O172" s="55"/>
      <c r="P172" s="49"/>
    </row>
    <row r="173" spans="2:16">
      <c r="B173" s="12" t="s">
        <v>88</v>
      </c>
      <c r="C173" s="333">
        <v>51</v>
      </c>
      <c r="D173" s="333">
        <v>55</v>
      </c>
      <c r="E173" s="333">
        <v>103</v>
      </c>
      <c r="F173" s="333">
        <v>49</v>
      </c>
      <c r="G173" s="333">
        <v>31</v>
      </c>
      <c r="H173" s="333">
        <v>34</v>
      </c>
      <c r="I173" s="333">
        <v>25</v>
      </c>
      <c r="J173" s="333">
        <v>20</v>
      </c>
      <c r="K173" s="333">
        <v>15</v>
      </c>
      <c r="L173" s="333">
        <v>11</v>
      </c>
      <c r="M173" s="152">
        <v>10</v>
      </c>
      <c r="O173" s="55"/>
      <c r="P173" s="49"/>
    </row>
    <row r="174" spans="2:16">
      <c r="B174" s="12" t="s">
        <v>89</v>
      </c>
      <c r="C174" s="333">
        <v>24</v>
      </c>
      <c r="D174" s="333">
        <v>37</v>
      </c>
      <c r="E174" s="333">
        <v>21</v>
      </c>
      <c r="F174" s="333">
        <v>27</v>
      </c>
      <c r="G174" s="333">
        <v>20</v>
      </c>
      <c r="H174" s="333">
        <v>15</v>
      </c>
      <c r="I174" s="333">
        <v>13</v>
      </c>
      <c r="J174" s="333">
        <v>6</v>
      </c>
      <c r="K174" s="333">
        <v>7</v>
      </c>
      <c r="L174" s="333">
        <v>11</v>
      </c>
      <c r="M174" s="152">
        <v>7</v>
      </c>
      <c r="O174" s="55"/>
      <c r="P174" s="49"/>
    </row>
    <row r="175" spans="2:16">
      <c r="B175" s="12" t="s">
        <v>90</v>
      </c>
      <c r="C175" s="333">
        <v>17</v>
      </c>
      <c r="D175" s="333">
        <v>24</v>
      </c>
      <c r="E175" s="333">
        <v>18</v>
      </c>
      <c r="F175" s="333">
        <v>23</v>
      </c>
      <c r="G175" s="333">
        <v>11</v>
      </c>
      <c r="H175" s="333">
        <v>9</v>
      </c>
      <c r="I175" s="333">
        <v>12</v>
      </c>
      <c r="J175" s="333">
        <v>6</v>
      </c>
      <c r="K175" s="333">
        <v>7</v>
      </c>
      <c r="L175" s="333">
        <v>6</v>
      </c>
      <c r="M175" s="152">
        <v>7</v>
      </c>
      <c r="O175" s="55"/>
      <c r="P175" s="49"/>
    </row>
    <row r="176" spans="2:16">
      <c r="B176" s="12" t="s">
        <v>91</v>
      </c>
      <c r="C176" s="333">
        <v>3</v>
      </c>
      <c r="D176" s="333">
        <v>13</v>
      </c>
      <c r="E176" s="333">
        <v>7</v>
      </c>
      <c r="F176" s="333">
        <v>11</v>
      </c>
      <c r="G176" s="333">
        <v>10</v>
      </c>
      <c r="H176" s="333">
        <v>7</v>
      </c>
      <c r="I176" s="333">
        <v>7</v>
      </c>
      <c r="J176" s="333">
        <v>3</v>
      </c>
      <c r="K176" s="333">
        <v>3</v>
      </c>
      <c r="L176" s="333">
        <v>3</v>
      </c>
      <c r="M176" s="152">
        <v>3</v>
      </c>
      <c r="O176" s="55"/>
      <c r="P176" s="49"/>
    </row>
    <row r="177" spans="2:16">
      <c r="B177" s="12" t="s">
        <v>92</v>
      </c>
      <c r="C177" s="333">
        <v>5</v>
      </c>
      <c r="D177" s="333">
        <v>9</v>
      </c>
      <c r="E177" s="333">
        <v>6</v>
      </c>
      <c r="F177" s="333">
        <v>9</v>
      </c>
      <c r="G177" s="333">
        <v>5</v>
      </c>
      <c r="H177" s="333">
        <v>7</v>
      </c>
      <c r="I177" s="333">
        <v>4</v>
      </c>
      <c r="J177" s="333">
        <v>3</v>
      </c>
      <c r="K177" s="333">
        <v>2</v>
      </c>
      <c r="L177" s="333">
        <v>2</v>
      </c>
      <c r="M177" s="152">
        <v>2</v>
      </c>
      <c r="O177" s="55"/>
      <c r="P177" s="49"/>
    </row>
    <row r="178" spans="2:16">
      <c r="B178" s="12" t="s">
        <v>95</v>
      </c>
      <c r="C178" s="333">
        <v>3</v>
      </c>
      <c r="D178" s="333">
        <v>2</v>
      </c>
      <c r="E178" s="333">
        <v>1</v>
      </c>
      <c r="F178" s="333">
        <v>3</v>
      </c>
      <c r="G178" s="333">
        <v>3</v>
      </c>
      <c r="H178" s="333">
        <v>2</v>
      </c>
      <c r="I178" s="333">
        <v>2</v>
      </c>
      <c r="J178" s="333">
        <v>1</v>
      </c>
      <c r="K178" s="333">
        <v>1</v>
      </c>
      <c r="L178" s="333">
        <v>2</v>
      </c>
      <c r="M178" s="152">
        <v>1</v>
      </c>
      <c r="O178" s="55"/>
      <c r="P178" s="49"/>
    </row>
    <row r="179" spans="2:16">
      <c r="B179" s="12" t="s">
        <v>96</v>
      </c>
      <c r="C179" s="333">
        <v>3</v>
      </c>
      <c r="D179" s="333">
        <v>2</v>
      </c>
      <c r="E179" s="333">
        <v>1</v>
      </c>
      <c r="F179" s="333">
        <v>3</v>
      </c>
      <c r="G179" s="333">
        <v>3</v>
      </c>
      <c r="H179" s="333">
        <v>2</v>
      </c>
      <c r="I179" s="333">
        <v>2</v>
      </c>
      <c r="J179" s="333">
        <v>1</v>
      </c>
      <c r="K179" s="333">
        <v>1</v>
      </c>
      <c r="L179" s="333">
        <v>2</v>
      </c>
      <c r="M179" s="152">
        <v>2</v>
      </c>
      <c r="O179" s="55"/>
      <c r="P179" s="49"/>
    </row>
    <row r="180" spans="2:16">
      <c r="B180" s="12" t="s">
        <v>93</v>
      </c>
      <c r="C180" s="333">
        <v>3</v>
      </c>
      <c r="D180" s="333">
        <v>3</v>
      </c>
      <c r="E180" s="333">
        <v>1</v>
      </c>
      <c r="F180" s="333">
        <v>3</v>
      </c>
      <c r="G180" s="333">
        <v>3</v>
      </c>
      <c r="H180" s="333">
        <v>2</v>
      </c>
      <c r="I180" s="333">
        <v>2</v>
      </c>
      <c r="J180" s="333">
        <v>1</v>
      </c>
      <c r="K180" s="333">
        <v>1</v>
      </c>
      <c r="L180" s="333">
        <v>2</v>
      </c>
      <c r="M180" s="152">
        <v>1</v>
      </c>
      <c r="O180" s="55"/>
      <c r="P180" s="49"/>
    </row>
    <row r="181" spans="2:16">
      <c r="B181" s="12" t="s">
        <v>97</v>
      </c>
      <c r="C181" s="333">
        <v>1</v>
      </c>
      <c r="D181" s="333">
        <v>2</v>
      </c>
      <c r="E181" s="333">
        <v>1</v>
      </c>
      <c r="F181" s="333">
        <v>3</v>
      </c>
      <c r="G181" s="333">
        <v>3</v>
      </c>
      <c r="H181" s="333">
        <v>2</v>
      </c>
      <c r="I181" s="333">
        <v>2</v>
      </c>
      <c r="J181" s="333">
        <v>1</v>
      </c>
      <c r="K181" s="333">
        <v>1</v>
      </c>
      <c r="L181" s="333">
        <v>2</v>
      </c>
      <c r="M181" s="152">
        <v>1</v>
      </c>
      <c r="O181" s="55"/>
      <c r="P181" s="49"/>
    </row>
    <row r="182" spans="2:16">
      <c r="B182" s="3" t="s">
        <v>136</v>
      </c>
      <c r="C182" s="333">
        <v>1</v>
      </c>
      <c r="D182" s="333">
        <v>2</v>
      </c>
      <c r="E182" s="333">
        <v>1</v>
      </c>
      <c r="F182" s="333">
        <v>3</v>
      </c>
      <c r="G182" s="333">
        <v>3</v>
      </c>
      <c r="H182" s="333">
        <v>2</v>
      </c>
      <c r="I182" s="333">
        <v>2</v>
      </c>
      <c r="J182" s="333">
        <v>1</v>
      </c>
      <c r="K182" s="333">
        <v>1</v>
      </c>
      <c r="L182" s="333">
        <v>2</v>
      </c>
      <c r="M182" s="152">
        <v>1</v>
      </c>
      <c r="O182" s="55"/>
      <c r="P182" s="49"/>
    </row>
    <row r="183" spans="2:16">
      <c r="B183" s="14" t="s">
        <v>94</v>
      </c>
      <c r="C183" s="52"/>
      <c r="D183" s="52"/>
      <c r="E183" s="44"/>
      <c r="F183" s="44"/>
      <c r="G183" s="44"/>
      <c r="H183" s="44"/>
      <c r="I183" s="44"/>
      <c r="J183" s="44"/>
      <c r="K183" s="44"/>
      <c r="L183" s="44"/>
      <c r="M183" s="153"/>
      <c r="N183" s="35"/>
      <c r="O183" s="56"/>
      <c r="P183" s="49"/>
    </row>
    <row r="184" spans="2:16" s="9" customFormat="1">
      <c r="B184" s="4"/>
      <c r="C184" s="40"/>
      <c r="D184" s="40"/>
      <c r="E184" s="40"/>
      <c r="F184" s="40"/>
      <c r="G184" s="40"/>
      <c r="H184" s="40"/>
      <c r="I184" s="40"/>
      <c r="J184" s="40"/>
      <c r="K184" s="40"/>
      <c r="L184" s="22"/>
      <c r="M184" s="24"/>
      <c r="N184" s="24"/>
      <c r="O184" s="22"/>
    </row>
    <row r="185" spans="2:16">
      <c r="B185" s="38"/>
    </row>
    <row r="188" spans="2:16">
      <c r="B188" s="8" t="s">
        <v>152</v>
      </c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156"/>
      <c r="N188" s="156"/>
      <c r="O188" s="37"/>
    </row>
    <row r="189" spans="2:16">
      <c r="B189" s="3"/>
      <c r="O189" s="23"/>
    </row>
    <row r="190" spans="2:16">
      <c r="B190" s="3"/>
      <c r="C190" s="25" t="s">
        <v>0</v>
      </c>
      <c r="D190" s="25" t="s">
        <v>1</v>
      </c>
      <c r="E190" s="25" t="s">
        <v>2</v>
      </c>
      <c r="F190" s="25" t="s">
        <v>3</v>
      </c>
      <c r="G190" s="25" t="s">
        <v>4</v>
      </c>
      <c r="H190" s="25" t="s">
        <v>5</v>
      </c>
      <c r="I190" s="25" t="s">
        <v>6</v>
      </c>
      <c r="J190" s="25" t="s">
        <v>7</v>
      </c>
      <c r="K190" s="25" t="s">
        <v>8</v>
      </c>
      <c r="L190" s="25">
        <v>2011</v>
      </c>
      <c r="M190" s="33">
        <v>2012</v>
      </c>
      <c r="N190" s="157"/>
      <c r="O190" s="96"/>
    </row>
    <row r="191" spans="2:16">
      <c r="B191" s="17" t="s">
        <v>102</v>
      </c>
      <c r="C191" s="77">
        <f t="shared" ref="C191:M191" si="18">C214+C240+C265+C165</f>
        <v>430688</v>
      </c>
      <c r="D191" s="77">
        <f t="shared" si="18"/>
        <v>437365</v>
      </c>
      <c r="E191" s="77">
        <f t="shared" si="18"/>
        <v>390117</v>
      </c>
      <c r="F191" s="77">
        <f t="shared" si="18"/>
        <v>360670</v>
      </c>
      <c r="G191" s="77">
        <f t="shared" si="18"/>
        <v>395297</v>
      </c>
      <c r="H191" s="77">
        <f t="shared" si="18"/>
        <v>394548</v>
      </c>
      <c r="I191" s="77">
        <f t="shared" si="18"/>
        <v>2326864</v>
      </c>
      <c r="J191" s="77">
        <f t="shared" si="18"/>
        <v>2238243</v>
      </c>
      <c r="K191" s="77">
        <f t="shared" si="18"/>
        <v>2281820</v>
      </c>
      <c r="L191" s="77">
        <f t="shared" si="18"/>
        <v>2271169</v>
      </c>
      <c r="M191" s="77">
        <f t="shared" si="18"/>
        <v>2276494</v>
      </c>
      <c r="O191" s="23"/>
    </row>
    <row r="192" spans="2:16">
      <c r="B192" s="3" t="s">
        <v>98</v>
      </c>
      <c r="C192" s="77">
        <f t="shared" ref="C192:M192" si="19">C215+C241+C266+C166</f>
        <v>21093</v>
      </c>
      <c r="D192" s="77">
        <f t="shared" si="19"/>
        <v>21444</v>
      </c>
      <c r="E192" s="77">
        <f t="shared" si="19"/>
        <v>19347</v>
      </c>
      <c r="F192" s="77">
        <f t="shared" si="19"/>
        <v>17836</v>
      </c>
      <c r="G192" s="77">
        <f t="shared" si="19"/>
        <v>19681</v>
      </c>
      <c r="H192" s="77">
        <f t="shared" si="19"/>
        <v>19456</v>
      </c>
      <c r="I192" s="77">
        <f t="shared" si="19"/>
        <v>480901</v>
      </c>
      <c r="J192" s="77">
        <f t="shared" si="19"/>
        <v>468846</v>
      </c>
      <c r="K192" s="77">
        <f t="shared" si="19"/>
        <v>480762</v>
      </c>
      <c r="L192" s="77">
        <f t="shared" si="19"/>
        <v>477057</v>
      </c>
      <c r="M192" s="77">
        <f t="shared" si="19"/>
        <v>478909</v>
      </c>
      <c r="O192" s="23"/>
    </row>
    <row r="193" spans="2:16">
      <c r="B193" s="3" t="s">
        <v>99</v>
      </c>
      <c r="C193" s="77">
        <f t="shared" ref="C193:M193" si="20">C216+C242+C267+C167</f>
        <v>421108</v>
      </c>
      <c r="D193" s="77">
        <f t="shared" si="20"/>
        <v>201005</v>
      </c>
      <c r="E193" s="77">
        <f t="shared" si="20"/>
        <v>202638</v>
      </c>
      <c r="F193" s="77">
        <f t="shared" si="20"/>
        <v>193974</v>
      </c>
      <c r="G193" s="77">
        <f t="shared" si="20"/>
        <v>187676</v>
      </c>
      <c r="H193" s="77">
        <f t="shared" si="20"/>
        <v>179641</v>
      </c>
      <c r="I193" s="77">
        <f t="shared" si="20"/>
        <v>408900</v>
      </c>
      <c r="J193" s="77">
        <f t="shared" si="20"/>
        <v>490326</v>
      </c>
      <c r="K193" s="77">
        <f t="shared" si="20"/>
        <v>500184</v>
      </c>
      <c r="L193" s="77">
        <f t="shared" si="20"/>
        <v>480552</v>
      </c>
      <c r="M193" s="77">
        <f t="shared" si="20"/>
        <v>490369</v>
      </c>
      <c r="O193" s="43"/>
      <c r="P193" s="7"/>
    </row>
    <row r="194" spans="2:16">
      <c r="B194" s="3" t="s">
        <v>83</v>
      </c>
      <c r="C194" s="77">
        <f t="shared" ref="C194:M194" si="21">C217+C243+C268+C168</f>
        <v>320287</v>
      </c>
      <c r="D194" s="77">
        <f t="shared" si="21"/>
        <v>356449</v>
      </c>
      <c r="E194" s="77">
        <f t="shared" si="21"/>
        <v>347786</v>
      </c>
      <c r="F194" s="77">
        <f t="shared" si="21"/>
        <v>319205</v>
      </c>
      <c r="G194" s="77">
        <f t="shared" si="21"/>
        <v>302962</v>
      </c>
      <c r="H194" s="77">
        <f t="shared" si="21"/>
        <v>288903</v>
      </c>
      <c r="I194" s="77">
        <f t="shared" si="21"/>
        <v>428527</v>
      </c>
      <c r="J194" s="77">
        <f t="shared" si="21"/>
        <v>434517</v>
      </c>
      <c r="K194" s="77">
        <f t="shared" si="21"/>
        <v>447578</v>
      </c>
      <c r="L194" s="77">
        <f t="shared" si="21"/>
        <v>449797</v>
      </c>
      <c r="M194" s="77">
        <f t="shared" si="21"/>
        <v>448684</v>
      </c>
      <c r="O194" s="43"/>
      <c r="P194" s="7"/>
    </row>
    <row r="195" spans="2:16">
      <c r="B195" s="3" t="s">
        <v>84</v>
      </c>
      <c r="C195" s="77">
        <f t="shared" ref="C195:M195" si="22">C218+C244+C269+C169</f>
        <v>226649</v>
      </c>
      <c r="D195" s="77">
        <f t="shared" si="22"/>
        <v>264080</v>
      </c>
      <c r="E195" s="77">
        <f t="shared" si="22"/>
        <v>272861</v>
      </c>
      <c r="F195" s="77">
        <f t="shared" si="22"/>
        <v>252688</v>
      </c>
      <c r="G195" s="77">
        <f t="shared" si="22"/>
        <v>237413</v>
      </c>
      <c r="H195" s="77">
        <f t="shared" si="22"/>
        <v>221714</v>
      </c>
      <c r="I195" s="77">
        <f t="shared" si="22"/>
        <v>239616</v>
      </c>
      <c r="J195" s="77">
        <f t="shared" si="22"/>
        <v>219641</v>
      </c>
      <c r="K195" s="77">
        <f t="shared" si="22"/>
        <v>239614</v>
      </c>
      <c r="L195" s="77">
        <f t="shared" si="22"/>
        <v>233299</v>
      </c>
      <c r="M195" s="77">
        <f t="shared" si="22"/>
        <v>236443</v>
      </c>
      <c r="O195" s="43"/>
      <c r="P195" s="7"/>
    </row>
    <row r="196" spans="2:16">
      <c r="B196" s="3" t="s">
        <v>85</v>
      </c>
      <c r="C196" s="77">
        <f t="shared" ref="C196:M196" si="23">C219+C245+C270+C170</f>
        <v>193807</v>
      </c>
      <c r="D196" s="77">
        <f t="shared" si="23"/>
        <v>223345</v>
      </c>
      <c r="E196" s="77">
        <f t="shared" si="23"/>
        <v>230943</v>
      </c>
      <c r="F196" s="77">
        <f t="shared" si="23"/>
        <v>219202</v>
      </c>
      <c r="G196" s="77">
        <f t="shared" si="23"/>
        <v>207430</v>
      </c>
      <c r="H196" s="77">
        <f t="shared" si="23"/>
        <v>192399</v>
      </c>
      <c r="I196" s="77">
        <f t="shared" si="23"/>
        <v>207617</v>
      </c>
      <c r="J196" s="77">
        <f t="shared" si="23"/>
        <v>193984</v>
      </c>
      <c r="K196" s="77">
        <f t="shared" si="23"/>
        <v>215098</v>
      </c>
      <c r="L196" s="77">
        <f t="shared" si="23"/>
        <v>206221</v>
      </c>
      <c r="M196" s="77">
        <f t="shared" si="23"/>
        <v>210660</v>
      </c>
      <c r="O196" s="43"/>
      <c r="P196" s="7"/>
    </row>
    <row r="197" spans="2:16">
      <c r="B197" s="3" t="s">
        <v>86</v>
      </c>
      <c r="C197" s="77">
        <f t="shared" ref="C197:L197" si="24">C220+C246+C271+C171</f>
        <v>150566</v>
      </c>
      <c r="D197" s="77">
        <f t="shared" si="24"/>
        <v>184309</v>
      </c>
      <c r="E197" s="77">
        <f t="shared" si="24"/>
        <v>191467</v>
      </c>
      <c r="F197" s="77">
        <f t="shared" si="24"/>
        <v>180958</v>
      </c>
      <c r="G197" s="77">
        <f t="shared" si="24"/>
        <v>173583</v>
      </c>
      <c r="H197" s="77">
        <f t="shared" si="24"/>
        <v>161626</v>
      </c>
      <c r="I197" s="77">
        <f t="shared" si="24"/>
        <v>174052</v>
      </c>
      <c r="J197" s="77">
        <f t="shared" si="24"/>
        <v>161599</v>
      </c>
      <c r="K197" s="77">
        <f t="shared" si="24"/>
        <v>180144</v>
      </c>
      <c r="L197" s="77">
        <f t="shared" si="24"/>
        <v>184767</v>
      </c>
      <c r="M197" s="77">
        <f>M220+M246+M271+M171</f>
        <v>182452</v>
      </c>
      <c r="O197" s="43"/>
      <c r="P197" s="7"/>
    </row>
    <row r="198" spans="2:16">
      <c r="B198" s="3" t="s">
        <v>87</v>
      </c>
      <c r="C198" s="77">
        <f t="shared" ref="C198:M198" si="25">C221+C247+C272+C172</f>
        <v>117362</v>
      </c>
      <c r="D198" s="77">
        <f t="shared" si="25"/>
        <v>136959</v>
      </c>
      <c r="E198" s="77">
        <f t="shared" si="25"/>
        <v>151918</v>
      </c>
      <c r="F198" s="77">
        <f t="shared" si="25"/>
        <v>143318</v>
      </c>
      <c r="G198" s="77">
        <f t="shared" si="25"/>
        <v>136265</v>
      </c>
      <c r="H198" s="77">
        <f t="shared" si="25"/>
        <v>130815</v>
      </c>
      <c r="I198" s="77">
        <f t="shared" si="25"/>
        <v>140544</v>
      </c>
      <c r="J198" s="77">
        <f t="shared" si="25"/>
        <v>129516</v>
      </c>
      <c r="K198" s="77">
        <f t="shared" si="25"/>
        <v>144045</v>
      </c>
      <c r="L198" s="77">
        <f t="shared" si="25"/>
        <v>149948</v>
      </c>
      <c r="M198" s="77">
        <f t="shared" si="25"/>
        <v>146993</v>
      </c>
      <c r="O198" s="43"/>
      <c r="P198" s="7"/>
    </row>
    <row r="199" spans="2:16">
      <c r="B199" s="3" t="s">
        <v>88</v>
      </c>
      <c r="C199" s="77">
        <f t="shared" ref="C199:M199" si="26">C222+C248+C273+C173</f>
        <v>88298</v>
      </c>
      <c r="D199" s="77">
        <f t="shared" si="26"/>
        <v>102014</v>
      </c>
      <c r="E199" s="77">
        <f t="shared" si="26"/>
        <v>167370</v>
      </c>
      <c r="F199" s="77">
        <f t="shared" si="26"/>
        <v>107770</v>
      </c>
      <c r="G199" s="77">
        <f t="shared" si="26"/>
        <v>103173</v>
      </c>
      <c r="H199" s="77">
        <f t="shared" si="26"/>
        <v>99715</v>
      </c>
      <c r="I199" s="77">
        <f t="shared" si="26"/>
        <v>111137</v>
      </c>
      <c r="J199" s="77">
        <f t="shared" si="26"/>
        <v>99571</v>
      </c>
      <c r="K199" s="77">
        <f t="shared" si="26"/>
        <v>110996</v>
      </c>
      <c r="L199" s="77">
        <f t="shared" si="26"/>
        <v>115581</v>
      </c>
      <c r="M199" s="77">
        <f t="shared" si="26"/>
        <v>113286</v>
      </c>
      <c r="O199" s="43"/>
      <c r="P199" s="7"/>
    </row>
    <row r="200" spans="2:16">
      <c r="B200" s="3" t="s">
        <v>89</v>
      </c>
      <c r="C200" s="77">
        <f t="shared" ref="C200:M200" si="27">C223+C249+C274+C174</f>
        <v>67236</v>
      </c>
      <c r="D200" s="77">
        <f t="shared" si="27"/>
        <v>74160</v>
      </c>
      <c r="E200" s="77">
        <f t="shared" si="27"/>
        <v>50573</v>
      </c>
      <c r="F200" s="77">
        <f t="shared" si="27"/>
        <v>71564</v>
      </c>
      <c r="G200" s="77">
        <f t="shared" si="27"/>
        <v>75669</v>
      </c>
      <c r="H200" s="77">
        <f t="shared" si="27"/>
        <v>74224</v>
      </c>
      <c r="I200" s="77">
        <f t="shared" si="27"/>
        <v>83538</v>
      </c>
      <c r="J200" s="77">
        <f t="shared" si="27"/>
        <v>76670</v>
      </c>
      <c r="K200" s="77">
        <f t="shared" si="27"/>
        <v>84414</v>
      </c>
      <c r="L200" s="77">
        <f t="shared" si="27"/>
        <v>86618</v>
      </c>
      <c r="M200" s="77">
        <f t="shared" si="27"/>
        <v>85515</v>
      </c>
      <c r="O200" s="43"/>
      <c r="P200" s="7"/>
    </row>
    <row r="201" spans="2:16">
      <c r="B201" s="3" t="s">
        <v>90</v>
      </c>
      <c r="C201" s="77">
        <f t="shared" ref="C201:M201" si="28">C224+C250+C275+C175</f>
        <v>48923</v>
      </c>
      <c r="D201" s="77">
        <f t="shared" si="28"/>
        <v>53882</v>
      </c>
      <c r="E201" s="77">
        <f t="shared" si="28"/>
        <v>38328</v>
      </c>
      <c r="F201" s="77">
        <f t="shared" si="28"/>
        <v>50124</v>
      </c>
      <c r="G201" s="77">
        <f t="shared" si="28"/>
        <v>54736</v>
      </c>
      <c r="H201" s="77">
        <f t="shared" si="28"/>
        <v>54658</v>
      </c>
      <c r="I201" s="77">
        <f t="shared" si="28"/>
        <v>62245</v>
      </c>
      <c r="J201" s="77">
        <f t="shared" si="28"/>
        <v>56176</v>
      </c>
      <c r="K201" s="77">
        <f t="shared" si="28"/>
        <v>64405</v>
      </c>
      <c r="L201" s="77">
        <f t="shared" si="28"/>
        <v>64997</v>
      </c>
      <c r="M201" s="77">
        <f t="shared" si="28"/>
        <v>64702</v>
      </c>
      <c r="O201" s="43"/>
      <c r="P201" s="7"/>
    </row>
    <row r="202" spans="2:16">
      <c r="B202" s="3" t="s">
        <v>91</v>
      </c>
      <c r="C202" s="77">
        <f t="shared" ref="C202:M202" si="29">C225+C251+C276+C176</f>
        <v>34570</v>
      </c>
      <c r="D202" s="77">
        <f t="shared" si="29"/>
        <v>37220</v>
      </c>
      <c r="E202" s="77">
        <f t="shared" si="29"/>
        <v>27380</v>
      </c>
      <c r="F202" s="77">
        <f t="shared" si="29"/>
        <v>35235</v>
      </c>
      <c r="G202" s="77">
        <f t="shared" si="29"/>
        <v>35049</v>
      </c>
      <c r="H202" s="77">
        <f t="shared" si="29"/>
        <v>39960</v>
      </c>
      <c r="I202" s="77">
        <f t="shared" si="29"/>
        <v>46106</v>
      </c>
      <c r="J202" s="77">
        <f t="shared" si="29"/>
        <v>41250</v>
      </c>
      <c r="K202" s="77">
        <f t="shared" si="29"/>
        <v>47360</v>
      </c>
      <c r="L202" s="77">
        <f t="shared" si="29"/>
        <v>49945</v>
      </c>
      <c r="M202" s="77">
        <f t="shared" si="29"/>
        <v>48653</v>
      </c>
      <c r="O202" s="43"/>
      <c r="P202" s="7"/>
    </row>
    <row r="203" spans="2:16">
      <c r="B203" s="3" t="s">
        <v>92</v>
      </c>
      <c r="C203" s="77">
        <f t="shared" ref="C203:M203" si="30">C226+C252+C277+C177</f>
        <v>24761</v>
      </c>
      <c r="D203" s="77">
        <f t="shared" si="30"/>
        <v>26710</v>
      </c>
      <c r="E203" s="77">
        <f t="shared" si="30"/>
        <v>20715</v>
      </c>
      <c r="F203" s="77">
        <f t="shared" si="30"/>
        <v>24452</v>
      </c>
      <c r="G203" s="77">
        <f t="shared" si="30"/>
        <v>24048</v>
      </c>
      <c r="H203" s="77">
        <f t="shared" si="30"/>
        <v>24082</v>
      </c>
      <c r="I203" s="77">
        <f t="shared" si="30"/>
        <v>37053</v>
      </c>
      <c r="J203" s="77">
        <f t="shared" si="30"/>
        <v>29267</v>
      </c>
      <c r="K203" s="77">
        <f t="shared" si="30"/>
        <v>34399</v>
      </c>
      <c r="L203" s="77">
        <f t="shared" si="30"/>
        <v>35364</v>
      </c>
      <c r="M203" s="77">
        <f t="shared" si="30"/>
        <v>34882</v>
      </c>
      <c r="O203" s="43"/>
      <c r="P203" s="7"/>
    </row>
    <row r="204" spans="2:16">
      <c r="B204" s="3" t="s">
        <v>95</v>
      </c>
      <c r="C204" s="77">
        <f t="shared" ref="C204:M204" si="31">C227+C253+C278+C178</f>
        <v>38670</v>
      </c>
      <c r="D204" s="77">
        <f t="shared" si="31"/>
        <v>40644</v>
      </c>
      <c r="E204" s="77">
        <f t="shared" si="31"/>
        <v>33204</v>
      </c>
      <c r="F204" s="77">
        <f t="shared" si="31"/>
        <v>37041</v>
      </c>
      <c r="G204" s="77">
        <f t="shared" si="31"/>
        <v>35824</v>
      </c>
      <c r="H204" s="77">
        <f t="shared" si="31"/>
        <v>35209</v>
      </c>
      <c r="I204" s="77">
        <f t="shared" si="31"/>
        <v>39028</v>
      </c>
      <c r="J204" s="77">
        <f t="shared" si="31"/>
        <v>33752</v>
      </c>
      <c r="K204" s="77">
        <f t="shared" si="31"/>
        <v>44443</v>
      </c>
      <c r="L204" s="77">
        <f t="shared" si="31"/>
        <v>49714</v>
      </c>
      <c r="M204" s="77">
        <f t="shared" si="31"/>
        <v>47079</v>
      </c>
      <c r="O204" s="43"/>
      <c r="P204" s="7"/>
    </row>
    <row r="205" spans="2:16">
      <c r="B205" s="3" t="s">
        <v>96</v>
      </c>
      <c r="C205" s="77">
        <f t="shared" ref="C205:M205" si="32">C228+C254+C279+C179</f>
        <v>5848</v>
      </c>
      <c r="D205" s="77">
        <f t="shared" si="32"/>
        <v>6225</v>
      </c>
      <c r="E205" s="77">
        <f t="shared" si="32"/>
        <v>5024</v>
      </c>
      <c r="F205" s="77">
        <f t="shared" si="32"/>
        <v>5509</v>
      </c>
      <c r="G205" s="77">
        <f t="shared" si="32"/>
        <v>5712</v>
      </c>
      <c r="H205" s="77">
        <f t="shared" si="32"/>
        <v>5745</v>
      </c>
      <c r="I205" s="77">
        <f t="shared" si="32"/>
        <v>7205</v>
      </c>
      <c r="J205" s="77">
        <f t="shared" si="32"/>
        <v>5956</v>
      </c>
      <c r="K205" s="77">
        <f t="shared" si="32"/>
        <v>7540</v>
      </c>
      <c r="L205" s="77">
        <f t="shared" si="32"/>
        <v>7960</v>
      </c>
      <c r="M205" s="77">
        <f t="shared" si="32"/>
        <v>7750</v>
      </c>
      <c r="O205" s="43"/>
      <c r="P205" s="7"/>
    </row>
    <row r="206" spans="2:16">
      <c r="B206" s="3" t="s">
        <v>93</v>
      </c>
      <c r="C206" s="77">
        <f t="shared" ref="C206:M206" si="33">C229+C255+C280+C180</f>
        <v>2135</v>
      </c>
      <c r="D206" s="77">
        <f t="shared" si="33"/>
        <v>2289</v>
      </c>
      <c r="E206" s="77">
        <f t="shared" si="33"/>
        <v>1848</v>
      </c>
      <c r="F206" s="77">
        <f t="shared" si="33"/>
        <v>1996</v>
      </c>
      <c r="G206" s="77">
        <f t="shared" si="33"/>
        <v>2152</v>
      </c>
      <c r="H206" s="77">
        <f t="shared" si="33"/>
        <v>2196</v>
      </c>
      <c r="I206" s="77">
        <f t="shared" si="33"/>
        <v>3043</v>
      </c>
      <c r="J206" s="77">
        <f t="shared" si="33"/>
        <v>2426</v>
      </c>
      <c r="K206" s="77">
        <f t="shared" si="33"/>
        <v>2981</v>
      </c>
      <c r="L206" s="77">
        <f t="shared" si="33"/>
        <v>2993</v>
      </c>
      <c r="M206" s="77">
        <f t="shared" si="33"/>
        <v>2987</v>
      </c>
      <c r="O206" s="43"/>
      <c r="P206" s="7"/>
    </row>
    <row r="207" spans="2:16">
      <c r="B207" s="3" t="s">
        <v>97</v>
      </c>
      <c r="C207" s="77">
        <f t="shared" ref="C207:M207" si="34">C230+C256+C281+C181</f>
        <v>762</v>
      </c>
      <c r="D207" s="77">
        <f t="shared" si="34"/>
        <v>825</v>
      </c>
      <c r="E207" s="77">
        <f t="shared" si="34"/>
        <v>668</v>
      </c>
      <c r="F207" s="77">
        <f t="shared" si="34"/>
        <v>710</v>
      </c>
      <c r="G207" s="77">
        <f t="shared" si="34"/>
        <v>799</v>
      </c>
      <c r="H207" s="77">
        <f t="shared" si="34"/>
        <v>827</v>
      </c>
      <c r="I207" s="77">
        <f t="shared" si="34"/>
        <v>1271</v>
      </c>
      <c r="J207" s="77">
        <f t="shared" si="34"/>
        <v>978</v>
      </c>
      <c r="K207" s="77">
        <f t="shared" si="34"/>
        <v>1166</v>
      </c>
      <c r="L207" s="77">
        <f t="shared" si="34"/>
        <v>1106</v>
      </c>
      <c r="M207" s="77">
        <f t="shared" si="34"/>
        <v>1135</v>
      </c>
      <c r="O207" s="43"/>
      <c r="P207" s="7"/>
    </row>
    <row r="208" spans="2:16">
      <c r="B208" s="5" t="s">
        <v>136</v>
      </c>
      <c r="C208" s="79">
        <f t="shared" ref="C208:M208" si="35">C231+C257+C282+C182</f>
        <v>1553</v>
      </c>
      <c r="D208" s="79">
        <f t="shared" si="35"/>
        <v>1589</v>
      </c>
      <c r="E208" s="79">
        <f t="shared" si="35"/>
        <v>1457</v>
      </c>
      <c r="F208" s="79">
        <f t="shared" si="35"/>
        <v>1604</v>
      </c>
      <c r="G208" s="79">
        <f t="shared" si="35"/>
        <v>1287</v>
      </c>
      <c r="H208" s="79">
        <f t="shared" si="35"/>
        <v>1218</v>
      </c>
      <c r="I208" s="79">
        <f t="shared" si="35"/>
        <v>1882</v>
      </c>
      <c r="J208" s="79">
        <f t="shared" si="35"/>
        <v>1413</v>
      </c>
      <c r="K208" s="79">
        <f t="shared" si="35"/>
        <v>1735</v>
      </c>
      <c r="L208" s="79">
        <f t="shared" si="35"/>
        <v>1652</v>
      </c>
      <c r="M208" s="79">
        <f t="shared" si="35"/>
        <v>1691</v>
      </c>
      <c r="N208" s="35"/>
      <c r="O208" s="57"/>
      <c r="P208" s="7"/>
    </row>
    <row r="211" spans="2:16">
      <c r="B211" s="8" t="s">
        <v>153</v>
      </c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156"/>
      <c r="N211" s="156"/>
      <c r="O211" s="37"/>
    </row>
    <row r="212" spans="2:16">
      <c r="B212" s="3"/>
      <c r="I212" s="72"/>
      <c r="J212" s="72"/>
      <c r="K212" s="72"/>
      <c r="L212" s="72"/>
      <c r="O212" s="23"/>
    </row>
    <row r="213" spans="2:16">
      <c r="B213" s="3"/>
      <c r="C213" s="25" t="s">
        <v>0</v>
      </c>
      <c r="D213" s="25" t="s">
        <v>1</v>
      </c>
      <c r="E213" s="25" t="s">
        <v>2</v>
      </c>
      <c r="F213" s="25" t="s">
        <v>3</v>
      </c>
      <c r="G213" s="25" t="s">
        <v>4</v>
      </c>
      <c r="H213" s="25" t="s">
        <v>5</v>
      </c>
      <c r="I213" s="25" t="s">
        <v>6</v>
      </c>
      <c r="J213" s="25" t="s">
        <v>7</v>
      </c>
      <c r="K213" s="25" t="s">
        <v>8</v>
      </c>
      <c r="L213" s="25">
        <v>2011</v>
      </c>
      <c r="M213" s="152">
        <v>2012</v>
      </c>
      <c r="N213" s="157"/>
      <c r="O213" s="96"/>
      <c r="P213" s="131" t="s">
        <v>101</v>
      </c>
    </row>
    <row r="214" spans="2:16">
      <c r="B214" s="17" t="s">
        <v>102</v>
      </c>
      <c r="C214" s="334">
        <v>0</v>
      </c>
      <c r="D214" s="334">
        <v>0</v>
      </c>
      <c r="E214" s="334">
        <v>0</v>
      </c>
      <c r="F214" s="334">
        <v>0</v>
      </c>
      <c r="G214" s="334">
        <v>0</v>
      </c>
      <c r="H214" s="334">
        <v>0</v>
      </c>
      <c r="I214" s="334">
        <v>1833186</v>
      </c>
      <c r="J214" s="334">
        <v>1765245</v>
      </c>
      <c r="K214" s="334">
        <v>1790348</v>
      </c>
      <c r="L214" s="334">
        <v>1783367</v>
      </c>
      <c r="M214" s="152">
        <v>1786858</v>
      </c>
      <c r="O214" s="43"/>
      <c r="P214" s="132"/>
    </row>
    <row r="215" spans="2:16">
      <c r="B215" s="3" t="s">
        <v>98</v>
      </c>
      <c r="C215" s="334">
        <v>0</v>
      </c>
      <c r="D215" s="334">
        <v>0</v>
      </c>
      <c r="E215" s="334">
        <v>0</v>
      </c>
      <c r="F215" s="334">
        <v>0</v>
      </c>
      <c r="G215" s="334">
        <v>0</v>
      </c>
      <c r="H215" s="334">
        <v>0</v>
      </c>
      <c r="I215" s="334">
        <v>406677</v>
      </c>
      <c r="J215" s="334">
        <v>399748</v>
      </c>
      <c r="K215" s="334">
        <v>408850</v>
      </c>
      <c r="L215" s="334">
        <v>405810</v>
      </c>
      <c r="M215" s="152">
        <v>407330</v>
      </c>
      <c r="O215" s="23"/>
      <c r="P215" s="133"/>
    </row>
    <row r="216" spans="2:16">
      <c r="B216" s="3" t="s">
        <v>99</v>
      </c>
      <c r="C216" s="334">
        <v>398986</v>
      </c>
      <c r="D216" s="334">
        <v>180889</v>
      </c>
      <c r="E216" s="334">
        <v>180824</v>
      </c>
      <c r="F216" s="334">
        <v>171070</v>
      </c>
      <c r="G216" s="334">
        <v>168113</v>
      </c>
      <c r="H216" s="334">
        <v>160375</v>
      </c>
      <c r="I216" s="334">
        <v>387101</v>
      </c>
      <c r="J216" s="334">
        <v>456702</v>
      </c>
      <c r="K216" s="334">
        <v>462168</v>
      </c>
      <c r="L216" s="334">
        <v>442678</v>
      </c>
      <c r="M216" s="152">
        <v>452423</v>
      </c>
      <c r="O216" s="23"/>
      <c r="P216" s="132"/>
    </row>
    <row r="217" spans="2:16">
      <c r="B217" s="3" t="s">
        <v>83</v>
      </c>
      <c r="C217" s="334">
        <v>281685</v>
      </c>
      <c r="D217" s="334">
        <v>317185</v>
      </c>
      <c r="E217" s="334">
        <v>309970</v>
      </c>
      <c r="F217" s="334">
        <v>281694</v>
      </c>
      <c r="G217" s="334">
        <v>267700</v>
      </c>
      <c r="H217" s="334">
        <v>254677</v>
      </c>
      <c r="I217" s="334">
        <v>389583</v>
      </c>
      <c r="J217" s="334">
        <v>394960</v>
      </c>
      <c r="K217" s="334">
        <v>402878</v>
      </c>
      <c r="L217" s="334">
        <v>404819</v>
      </c>
      <c r="M217" s="152">
        <v>403849</v>
      </c>
      <c r="O217" s="43"/>
      <c r="P217" s="134"/>
    </row>
    <row r="218" spans="2:16">
      <c r="B218" s="3" t="s">
        <v>84</v>
      </c>
      <c r="C218" s="334">
        <v>193215</v>
      </c>
      <c r="D218" s="334">
        <v>230209</v>
      </c>
      <c r="E218" s="334">
        <v>239316</v>
      </c>
      <c r="F218" s="334">
        <v>219544</v>
      </c>
      <c r="G218" s="334">
        <v>206420</v>
      </c>
      <c r="H218" s="334">
        <v>190997</v>
      </c>
      <c r="I218" s="334">
        <v>205013</v>
      </c>
      <c r="J218" s="334">
        <v>189180</v>
      </c>
      <c r="K218" s="334">
        <v>205433</v>
      </c>
      <c r="L218" s="334">
        <v>199875</v>
      </c>
      <c r="M218" s="152">
        <v>202654</v>
      </c>
      <c r="O218" s="43"/>
      <c r="P218" s="33"/>
    </row>
    <row r="219" spans="2:16">
      <c r="B219" s="3" t="s">
        <v>85</v>
      </c>
      <c r="C219" s="334">
        <v>163398</v>
      </c>
      <c r="D219" s="334">
        <v>192420</v>
      </c>
      <c r="E219" s="334">
        <v>200355</v>
      </c>
      <c r="F219" s="334">
        <v>187198</v>
      </c>
      <c r="G219" s="334">
        <v>178497</v>
      </c>
      <c r="H219" s="334">
        <v>164449</v>
      </c>
      <c r="I219" s="334">
        <v>175610</v>
      </c>
      <c r="J219" s="334">
        <v>165687</v>
      </c>
      <c r="K219" s="334">
        <v>183568</v>
      </c>
      <c r="L219" s="334">
        <v>174955</v>
      </c>
      <c r="M219" s="152">
        <v>179262</v>
      </c>
      <c r="O219" s="43"/>
      <c r="P219" s="33"/>
    </row>
    <row r="220" spans="2:16">
      <c r="B220" s="3" t="s">
        <v>86</v>
      </c>
      <c r="C220" s="334">
        <v>125025</v>
      </c>
      <c r="D220" s="334">
        <v>158322</v>
      </c>
      <c r="E220" s="334">
        <v>165004</v>
      </c>
      <c r="F220" s="334">
        <v>153128</v>
      </c>
      <c r="G220" s="334">
        <v>148257</v>
      </c>
      <c r="H220" s="334">
        <v>137684</v>
      </c>
      <c r="I220" s="334">
        <v>147043</v>
      </c>
      <c r="J220" s="334">
        <v>137219</v>
      </c>
      <c r="K220" s="334">
        <v>153046</v>
      </c>
      <c r="L220" s="334">
        <v>158297</v>
      </c>
      <c r="M220" s="152">
        <v>155672</v>
      </c>
      <c r="O220" s="43"/>
      <c r="P220" s="33"/>
    </row>
    <row r="221" spans="2:16">
      <c r="B221" s="3" t="s">
        <v>87</v>
      </c>
      <c r="C221" s="334">
        <v>96633</v>
      </c>
      <c r="D221" s="334">
        <v>116264</v>
      </c>
      <c r="E221" s="334">
        <v>130809</v>
      </c>
      <c r="F221" s="334">
        <v>120770</v>
      </c>
      <c r="G221" s="334">
        <v>116246</v>
      </c>
      <c r="H221" s="334">
        <v>110976</v>
      </c>
      <c r="I221" s="334">
        <v>118507</v>
      </c>
      <c r="J221" s="334">
        <v>110290</v>
      </c>
      <c r="K221" s="334">
        <v>122610</v>
      </c>
      <c r="L221" s="334">
        <v>129137</v>
      </c>
      <c r="M221" s="152">
        <v>125874</v>
      </c>
      <c r="O221" s="43"/>
      <c r="P221" s="33"/>
    </row>
    <row r="222" spans="2:16">
      <c r="B222" s="3" t="s">
        <v>88</v>
      </c>
      <c r="C222" s="334">
        <v>75147</v>
      </c>
      <c r="D222" s="334">
        <v>85024</v>
      </c>
      <c r="E222" s="334">
        <v>144638</v>
      </c>
      <c r="F222" s="334">
        <v>90287</v>
      </c>
      <c r="G222" s="334">
        <v>88012</v>
      </c>
      <c r="H222" s="334">
        <v>84773</v>
      </c>
      <c r="I222" s="334">
        <v>93515</v>
      </c>
      <c r="J222" s="334">
        <v>85075</v>
      </c>
      <c r="K222" s="334">
        <v>94980</v>
      </c>
      <c r="L222" s="334">
        <v>100093</v>
      </c>
      <c r="M222" s="152">
        <v>97537</v>
      </c>
      <c r="O222" s="43"/>
      <c r="P222" s="33"/>
    </row>
    <row r="223" spans="2:16">
      <c r="B223" s="3" t="s">
        <v>89</v>
      </c>
      <c r="C223" s="334">
        <v>55077</v>
      </c>
      <c r="D223" s="334">
        <v>62007</v>
      </c>
      <c r="E223" s="334">
        <v>40529</v>
      </c>
      <c r="F223" s="334">
        <v>59402</v>
      </c>
      <c r="G223" s="334">
        <v>64734</v>
      </c>
      <c r="H223" s="334">
        <v>63293</v>
      </c>
      <c r="I223" s="334">
        <v>70170</v>
      </c>
      <c r="J223" s="334">
        <v>65377</v>
      </c>
      <c r="K223" s="334">
        <v>72499</v>
      </c>
      <c r="L223" s="334">
        <v>75416</v>
      </c>
      <c r="M223" s="152">
        <v>73958</v>
      </c>
      <c r="O223" s="43"/>
      <c r="P223" s="33"/>
    </row>
    <row r="224" spans="2:16">
      <c r="B224" s="3" t="s">
        <v>90</v>
      </c>
      <c r="C224" s="334">
        <v>39722</v>
      </c>
      <c r="D224" s="334">
        <v>44160</v>
      </c>
      <c r="E224" s="334">
        <v>30138</v>
      </c>
      <c r="F224" s="334">
        <v>40821</v>
      </c>
      <c r="G224" s="334">
        <v>46585</v>
      </c>
      <c r="H224" s="334">
        <v>46658</v>
      </c>
      <c r="I224" s="334">
        <v>52242</v>
      </c>
      <c r="J224" s="334">
        <v>47717</v>
      </c>
      <c r="K224" s="334">
        <v>55138</v>
      </c>
      <c r="L224" s="334">
        <v>56794</v>
      </c>
      <c r="M224" s="152">
        <v>55966</v>
      </c>
      <c r="O224" s="43"/>
      <c r="P224" s="33"/>
    </row>
    <row r="225" spans="2:16">
      <c r="B225" s="3" t="s">
        <v>91</v>
      </c>
      <c r="C225" s="334">
        <v>28383</v>
      </c>
      <c r="D225" s="334">
        <v>31118</v>
      </c>
      <c r="E225" s="334">
        <v>22149</v>
      </c>
      <c r="F225" s="334">
        <v>28696</v>
      </c>
      <c r="G225" s="334">
        <v>28952</v>
      </c>
      <c r="H225" s="334">
        <v>34255</v>
      </c>
      <c r="I225" s="334">
        <v>38483</v>
      </c>
      <c r="J225" s="334">
        <v>34912</v>
      </c>
      <c r="K225" s="334">
        <v>40493</v>
      </c>
      <c r="L225" s="334">
        <v>43513</v>
      </c>
      <c r="M225" s="152">
        <v>42003</v>
      </c>
      <c r="O225" s="43"/>
      <c r="P225" s="33"/>
    </row>
    <row r="226" spans="2:16">
      <c r="B226" s="3" t="s">
        <v>92</v>
      </c>
      <c r="C226" s="334">
        <v>20148</v>
      </c>
      <c r="D226" s="334">
        <v>21781</v>
      </c>
      <c r="E226" s="334">
        <v>16294</v>
      </c>
      <c r="F226" s="334">
        <v>19951</v>
      </c>
      <c r="G226" s="334">
        <v>19785</v>
      </c>
      <c r="H226" s="334">
        <v>19906</v>
      </c>
      <c r="I226" s="334">
        <v>30851</v>
      </c>
      <c r="J226" s="334">
        <v>24602</v>
      </c>
      <c r="K226" s="334">
        <v>29360</v>
      </c>
      <c r="L226" s="334">
        <v>30822</v>
      </c>
      <c r="M226" s="152">
        <v>30091</v>
      </c>
      <c r="O226" s="43"/>
      <c r="P226" s="33"/>
    </row>
    <row r="227" spans="2:16">
      <c r="B227" s="3" t="s">
        <v>95</v>
      </c>
      <c r="C227" s="334">
        <v>34321</v>
      </c>
      <c r="D227" s="334">
        <v>36225</v>
      </c>
      <c r="E227" s="334">
        <v>29085</v>
      </c>
      <c r="F227" s="334">
        <v>32500</v>
      </c>
      <c r="G227" s="334">
        <v>32334</v>
      </c>
      <c r="H227" s="334">
        <v>31951</v>
      </c>
      <c r="I227" s="334">
        <v>33917</v>
      </c>
      <c r="J227" s="334">
        <v>29945</v>
      </c>
      <c r="K227" s="334">
        <v>39757</v>
      </c>
      <c r="L227" s="334">
        <v>45294</v>
      </c>
      <c r="M227" s="152">
        <v>42526</v>
      </c>
      <c r="O227" s="43"/>
      <c r="P227" s="33"/>
    </row>
    <row r="228" spans="2:16">
      <c r="B228" s="3" t="s">
        <v>96</v>
      </c>
      <c r="C228" s="334">
        <v>3784</v>
      </c>
      <c r="D228" s="334">
        <v>3994</v>
      </c>
      <c r="E228" s="334">
        <v>3206</v>
      </c>
      <c r="F228" s="334">
        <v>3583</v>
      </c>
      <c r="G228" s="334">
        <v>3565</v>
      </c>
      <c r="H228" s="334">
        <v>3522</v>
      </c>
      <c r="I228" s="334">
        <v>3739</v>
      </c>
      <c r="J228" s="334">
        <v>3301</v>
      </c>
      <c r="K228" s="334">
        <v>4383</v>
      </c>
      <c r="L228" s="334">
        <v>4993</v>
      </c>
      <c r="M228" s="152">
        <v>4688</v>
      </c>
      <c r="O228" s="43"/>
      <c r="P228" s="33"/>
    </row>
    <row r="229" spans="2:16">
      <c r="B229" s="3" t="s">
        <v>93</v>
      </c>
      <c r="C229" s="334">
        <v>820</v>
      </c>
      <c r="D229" s="334">
        <v>865</v>
      </c>
      <c r="E229" s="334">
        <v>695</v>
      </c>
      <c r="F229" s="334">
        <v>776</v>
      </c>
      <c r="G229" s="334">
        <v>772</v>
      </c>
      <c r="H229" s="334">
        <v>763</v>
      </c>
      <c r="I229" s="334">
        <v>810</v>
      </c>
      <c r="J229" s="334">
        <v>715</v>
      </c>
      <c r="K229" s="334">
        <v>950</v>
      </c>
      <c r="L229" s="334">
        <v>1082</v>
      </c>
      <c r="M229" s="152">
        <v>1016</v>
      </c>
      <c r="O229" s="43"/>
      <c r="P229" s="33"/>
    </row>
    <row r="230" spans="2:16">
      <c r="B230" s="3" t="s">
        <v>97</v>
      </c>
      <c r="C230" s="334">
        <v>41</v>
      </c>
      <c r="D230" s="334">
        <v>43</v>
      </c>
      <c r="E230" s="334">
        <v>35</v>
      </c>
      <c r="F230" s="334">
        <v>39</v>
      </c>
      <c r="G230" s="334">
        <v>39</v>
      </c>
      <c r="H230" s="334">
        <v>38</v>
      </c>
      <c r="I230" s="334">
        <v>41</v>
      </c>
      <c r="J230" s="334">
        <v>36</v>
      </c>
      <c r="K230" s="334">
        <v>47</v>
      </c>
      <c r="L230" s="334">
        <v>54</v>
      </c>
      <c r="M230" s="152">
        <v>51</v>
      </c>
      <c r="O230" s="43"/>
      <c r="P230" s="33"/>
    </row>
    <row r="231" spans="2:16">
      <c r="B231" s="5" t="s">
        <v>136</v>
      </c>
      <c r="C231" s="335">
        <v>56</v>
      </c>
      <c r="D231" s="335">
        <v>59</v>
      </c>
      <c r="E231" s="335">
        <v>47</v>
      </c>
      <c r="F231" s="335">
        <v>53</v>
      </c>
      <c r="G231" s="335">
        <v>53</v>
      </c>
      <c r="H231" s="335">
        <v>52</v>
      </c>
      <c r="I231" s="335">
        <v>55</v>
      </c>
      <c r="J231" s="335">
        <v>49</v>
      </c>
      <c r="K231" s="335">
        <v>65</v>
      </c>
      <c r="L231" s="335">
        <v>74</v>
      </c>
      <c r="M231" s="153">
        <v>70</v>
      </c>
      <c r="N231" s="35"/>
      <c r="O231" s="57"/>
      <c r="P231" s="33"/>
    </row>
    <row r="232" spans="2:16">
      <c r="C232" s="7"/>
      <c r="D232" s="7"/>
      <c r="E232" s="7"/>
      <c r="F232" s="7"/>
      <c r="G232" s="7"/>
      <c r="H232" s="7"/>
      <c r="I232" s="7"/>
      <c r="J232" s="7"/>
      <c r="K232" s="7"/>
    </row>
    <row r="233" spans="2:16">
      <c r="C233" s="7"/>
      <c r="D233" s="7"/>
      <c r="E233" s="7"/>
      <c r="F233" s="7"/>
      <c r="G233" s="7"/>
      <c r="H233" s="7"/>
      <c r="I233" s="7"/>
      <c r="J233" s="7"/>
      <c r="K233" s="7"/>
    </row>
    <row r="234" spans="2:16">
      <c r="C234" s="7"/>
      <c r="D234" s="7"/>
      <c r="E234" s="7"/>
      <c r="F234" s="7"/>
      <c r="G234" s="7"/>
      <c r="H234" s="7"/>
      <c r="I234" s="7"/>
      <c r="J234" s="7"/>
      <c r="K234" s="7"/>
    </row>
    <row r="235" spans="2:16">
      <c r="B235" s="65"/>
      <c r="D235" s="65"/>
    </row>
    <row r="237" spans="2:16">
      <c r="B237" s="8" t="s">
        <v>154</v>
      </c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156"/>
      <c r="N237" s="156"/>
      <c r="O237" s="37"/>
    </row>
    <row r="238" spans="2:16">
      <c r="B238" s="3"/>
      <c r="I238" s="72"/>
      <c r="J238" s="72"/>
      <c r="K238" s="72"/>
      <c r="L238" s="72"/>
      <c r="O238" s="23"/>
    </row>
    <row r="239" spans="2:16">
      <c r="B239" s="3"/>
      <c r="C239" s="25" t="s">
        <v>0</v>
      </c>
      <c r="D239" s="25" t="s">
        <v>1</v>
      </c>
      <c r="E239" s="25" t="s">
        <v>2</v>
      </c>
      <c r="F239" s="25" t="s">
        <v>3</v>
      </c>
      <c r="G239" s="25" t="s">
        <v>4</v>
      </c>
      <c r="H239" s="25" t="s">
        <v>5</v>
      </c>
      <c r="I239" s="25" t="s">
        <v>6</v>
      </c>
      <c r="J239" s="25" t="s">
        <v>7</v>
      </c>
      <c r="K239" s="25" t="s">
        <v>8</v>
      </c>
      <c r="L239" s="25">
        <v>2011</v>
      </c>
      <c r="M239" s="152">
        <v>2012</v>
      </c>
      <c r="N239" s="157"/>
      <c r="O239" s="96"/>
      <c r="P239" s="128" t="s">
        <v>101</v>
      </c>
    </row>
    <row r="240" spans="2:16">
      <c r="B240" s="17" t="s">
        <v>102</v>
      </c>
      <c r="C240" s="336">
        <v>0</v>
      </c>
      <c r="D240" s="336">
        <v>0</v>
      </c>
      <c r="E240" s="336">
        <v>0</v>
      </c>
      <c r="F240" s="336">
        <v>0</v>
      </c>
      <c r="G240" s="336">
        <v>0</v>
      </c>
      <c r="H240" s="336">
        <v>0</v>
      </c>
      <c r="I240" s="336">
        <v>59529</v>
      </c>
      <c r="J240" s="336">
        <v>57597</v>
      </c>
      <c r="K240" s="336">
        <v>60753</v>
      </c>
      <c r="L240" s="336">
        <v>60753</v>
      </c>
      <c r="M240" s="152">
        <v>60753</v>
      </c>
      <c r="O240" s="23"/>
      <c r="P240" s="129"/>
    </row>
    <row r="241" spans="2:16">
      <c r="B241" s="3" t="s">
        <v>98</v>
      </c>
      <c r="C241" s="336">
        <v>890</v>
      </c>
      <c r="D241" s="336">
        <v>907</v>
      </c>
      <c r="E241" s="336">
        <v>991</v>
      </c>
      <c r="F241" s="336">
        <v>860</v>
      </c>
      <c r="G241" s="336">
        <v>1086</v>
      </c>
      <c r="H241" s="336">
        <v>913</v>
      </c>
      <c r="I241" s="336">
        <v>53825</v>
      </c>
      <c r="J241" s="336">
        <v>50215</v>
      </c>
      <c r="K241" s="336">
        <v>51709</v>
      </c>
      <c r="L241" s="336">
        <v>51683</v>
      </c>
      <c r="M241" s="152">
        <v>51696</v>
      </c>
      <c r="O241" s="23"/>
      <c r="P241" s="60"/>
    </row>
    <row r="242" spans="2:16">
      <c r="B242" s="3" t="s">
        <v>99</v>
      </c>
      <c r="C242" s="336">
        <v>2784</v>
      </c>
      <c r="D242" s="336">
        <v>2342</v>
      </c>
      <c r="E242" s="336">
        <v>4113</v>
      </c>
      <c r="F242" s="336">
        <v>4558</v>
      </c>
      <c r="G242" s="336">
        <v>907</v>
      </c>
      <c r="H242" s="336">
        <v>733</v>
      </c>
      <c r="I242" s="336">
        <v>1365</v>
      </c>
      <c r="J242" s="336">
        <v>15313</v>
      </c>
      <c r="K242" s="336">
        <v>17388</v>
      </c>
      <c r="L242" s="336">
        <v>17370</v>
      </c>
      <c r="M242" s="152">
        <v>17379</v>
      </c>
      <c r="O242" s="23"/>
      <c r="P242" s="129"/>
    </row>
    <row r="243" spans="2:16">
      <c r="B243" s="3" t="s">
        <v>83</v>
      </c>
      <c r="C243" s="336">
        <v>5880</v>
      </c>
      <c r="D243" s="336">
        <v>5101</v>
      </c>
      <c r="E243" s="336">
        <v>7108</v>
      </c>
      <c r="F243" s="336">
        <v>7848</v>
      </c>
      <c r="G243" s="336">
        <v>1390</v>
      </c>
      <c r="H243" s="336">
        <v>1025</v>
      </c>
      <c r="I243" s="336">
        <v>1743</v>
      </c>
      <c r="J243" s="336">
        <v>7076</v>
      </c>
      <c r="K243" s="336">
        <v>8106</v>
      </c>
      <c r="L243" s="336">
        <v>8144</v>
      </c>
      <c r="M243" s="152">
        <v>8125</v>
      </c>
      <c r="O243" s="23"/>
      <c r="P243" s="130"/>
    </row>
    <row r="244" spans="2:16">
      <c r="B244" s="3" t="s">
        <v>84</v>
      </c>
      <c r="C244" s="336">
        <v>5373</v>
      </c>
      <c r="D244" s="336">
        <v>4696</v>
      </c>
      <c r="E244" s="336">
        <v>6956</v>
      </c>
      <c r="F244" s="336">
        <v>7289</v>
      </c>
      <c r="G244" s="336">
        <v>1151</v>
      </c>
      <c r="H244" s="336">
        <v>803</v>
      </c>
      <c r="I244" s="336">
        <v>891</v>
      </c>
      <c r="J244" s="336">
        <v>1092</v>
      </c>
      <c r="K244" s="336">
        <v>1456</v>
      </c>
      <c r="L244" s="336">
        <v>1560</v>
      </c>
      <c r="M244" s="152">
        <v>1508</v>
      </c>
      <c r="O244" s="55"/>
      <c r="P244" s="33"/>
    </row>
    <row r="245" spans="2:16">
      <c r="B245" s="3" t="s">
        <v>85</v>
      </c>
      <c r="C245" s="336">
        <v>5093</v>
      </c>
      <c r="D245" s="336">
        <v>4630</v>
      </c>
      <c r="E245" s="336">
        <v>7041</v>
      </c>
      <c r="F245" s="336">
        <v>7925</v>
      </c>
      <c r="G245" s="336">
        <v>1098</v>
      </c>
      <c r="H245" s="336">
        <v>695</v>
      </c>
      <c r="I245" s="336">
        <v>759</v>
      </c>
      <c r="J245" s="336">
        <v>944</v>
      </c>
      <c r="K245" s="336">
        <v>1319</v>
      </c>
      <c r="L245" s="336">
        <v>1418</v>
      </c>
      <c r="M245" s="152">
        <v>1369</v>
      </c>
      <c r="O245" s="55"/>
      <c r="P245" s="33"/>
    </row>
    <row r="246" spans="2:16">
      <c r="B246" s="3" t="s">
        <v>86</v>
      </c>
      <c r="C246" s="336">
        <v>4662</v>
      </c>
      <c r="D246" s="336">
        <v>4153</v>
      </c>
      <c r="E246" s="336">
        <v>6630</v>
      </c>
      <c r="F246" s="336">
        <v>7917</v>
      </c>
      <c r="G246" s="336">
        <v>969</v>
      </c>
      <c r="H246" s="336">
        <v>604</v>
      </c>
      <c r="I246" s="336">
        <v>614</v>
      </c>
      <c r="J246" s="336">
        <v>803</v>
      </c>
      <c r="K246" s="336">
        <v>1125</v>
      </c>
      <c r="L246" s="336">
        <v>1183</v>
      </c>
      <c r="M246" s="152">
        <v>1154</v>
      </c>
      <c r="O246" s="55"/>
      <c r="P246" s="33"/>
    </row>
    <row r="247" spans="2:16">
      <c r="B247" s="3" t="s">
        <v>87</v>
      </c>
      <c r="C247" s="336">
        <v>4622</v>
      </c>
      <c r="D247" s="336">
        <v>3619</v>
      </c>
      <c r="E247" s="336">
        <v>5704</v>
      </c>
      <c r="F247" s="336">
        <v>6934</v>
      </c>
      <c r="G247" s="336">
        <v>767</v>
      </c>
      <c r="H247" s="336">
        <v>446</v>
      </c>
      <c r="I247" s="336">
        <v>481</v>
      </c>
      <c r="J247" s="336">
        <v>622</v>
      </c>
      <c r="K247" s="336">
        <v>881</v>
      </c>
      <c r="L247" s="336">
        <v>966</v>
      </c>
      <c r="M247" s="152">
        <v>924</v>
      </c>
      <c r="O247" s="55"/>
      <c r="P247" s="33"/>
    </row>
    <row r="248" spans="2:16">
      <c r="B248" s="3" t="s">
        <v>88</v>
      </c>
      <c r="C248" s="336">
        <v>2059</v>
      </c>
      <c r="D248" s="336">
        <v>3604</v>
      </c>
      <c r="E248" s="336">
        <v>4938</v>
      </c>
      <c r="F248" s="336">
        <v>5658</v>
      </c>
      <c r="G248" s="336">
        <v>589</v>
      </c>
      <c r="H248" s="336">
        <v>329</v>
      </c>
      <c r="I248" s="336">
        <v>355</v>
      </c>
      <c r="J248" s="336">
        <v>467</v>
      </c>
      <c r="K248" s="336">
        <v>687</v>
      </c>
      <c r="L248" s="336">
        <v>721</v>
      </c>
      <c r="M248" s="152">
        <v>704</v>
      </c>
      <c r="O248" s="55"/>
      <c r="P248" s="33"/>
    </row>
    <row r="249" spans="2:16">
      <c r="B249" s="3" t="s">
        <v>89</v>
      </c>
      <c r="C249" s="336">
        <v>3481</v>
      </c>
      <c r="D249" s="336">
        <v>2685</v>
      </c>
      <c r="E249" s="336">
        <v>3957</v>
      </c>
      <c r="F249" s="336">
        <v>4152</v>
      </c>
      <c r="G249" s="336">
        <v>529</v>
      </c>
      <c r="H249" s="336">
        <v>202</v>
      </c>
      <c r="I249" s="336">
        <v>273</v>
      </c>
      <c r="J249" s="336">
        <v>327</v>
      </c>
      <c r="K249" s="336">
        <v>495</v>
      </c>
      <c r="L249" s="336">
        <v>518</v>
      </c>
      <c r="M249" s="152">
        <v>507</v>
      </c>
      <c r="O249" s="55"/>
      <c r="P249" s="33"/>
    </row>
    <row r="250" spans="2:16">
      <c r="B250" s="3" t="s">
        <v>90</v>
      </c>
      <c r="C250" s="336">
        <v>2898</v>
      </c>
      <c r="D250" s="336">
        <v>2673</v>
      </c>
      <c r="E250" s="336">
        <v>3300</v>
      </c>
      <c r="F250" s="336">
        <v>3458</v>
      </c>
      <c r="G250" s="336">
        <v>903</v>
      </c>
      <c r="H250" s="336">
        <v>233</v>
      </c>
      <c r="I250" s="336">
        <v>203</v>
      </c>
      <c r="J250" s="336">
        <v>226</v>
      </c>
      <c r="K250" s="336">
        <v>384</v>
      </c>
      <c r="L250" s="336">
        <v>381</v>
      </c>
      <c r="M250" s="152">
        <v>383</v>
      </c>
      <c r="O250" s="55"/>
      <c r="P250" s="33"/>
    </row>
    <row r="251" spans="2:16">
      <c r="B251" s="3" t="s">
        <v>91</v>
      </c>
      <c r="C251" s="336">
        <v>1814</v>
      </c>
      <c r="D251" s="336">
        <v>1385</v>
      </c>
      <c r="E251" s="336">
        <v>1902</v>
      </c>
      <c r="F251" s="336">
        <v>2335</v>
      </c>
      <c r="G251" s="336">
        <v>720</v>
      </c>
      <c r="H251" s="336">
        <v>343</v>
      </c>
      <c r="I251" s="336">
        <v>202</v>
      </c>
      <c r="J251" s="336">
        <v>150</v>
      </c>
      <c r="K251" s="336">
        <v>278</v>
      </c>
      <c r="L251" s="336">
        <v>300</v>
      </c>
      <c r="M251" s="152">
        <v>289</v>
      </c>
      <c r="O251" s="55"/>
      <c r="P251" s="33"/>
    </row>
    <row r="252" spans="2:16">
      <c r="B252" s="3" t="s">
        <v>92</v>
      </c>
      <c r="C252" s="336">
        <v>1338</v>
      </c>
      <c r="D252" s="336">
        <v>1249</v>
      </c>
      <c r="E252" s="336">
        <v>1627</v>
      </c>
      <c r="F252" s="336">
        <v>1496</v>
      </c>
      <c r="G252" s="336">
        <v>488</v>
      </c>
      <c r="H252" s="336">
        <v>173</v>
      </c>
      <c r="I252" s="336">
        <v>371</v>
      </c>
      <c r="J252" s="336">
        <v>110</v>
      </c>
      <c r="K252" s="336">
        <v>214</v>
      </c>
      <c r="L252" s="336">
        <v>218</v>
      </c>
      <c r="M252" s="152">
        <v>216</v>
      </c>
      <c r="O252" s="55"/>
      <c r="P252" s="33"/>
    </row>
    <row r="253" spans="2:16">
      <c r="B253" s="3" t="s">
        <v>95</v>
      </c>
      <c r="C253" s="336">
        <v>1590</v>
      </c>
      <c r="D253" s="336">
        <v>1417</v>
      </c>
      <c r="E253" s="336">
        <v>1710</v>
      </c>
      <c r="F253" s="336">
        <v>2002</v>
      </c>
      <c r="G253" s="336">
        <v>546</v>
      </c>
      <c r="H253" s="336">
        <v>186</v>
      </c>
      <c r="I253" s="336">
        <v>321</v>
      </c>
      <c r="J253" s="336">
        <v>130</v>
      </c>
      <c r="K253" s="336">
        <v>326</v>
      </c>
      <c r="L253" s="336">
        <v>324</v>
      </c>
      <c r="M253" s="152">
        <v>325</v>
      </c>
      <c r="O253" s="55"/>
      <c r="P253" s="33"/>
    </row>
    <row r="254" spans="2:16">
      <c r="B254" s="3" t="s">
        <v>96</v>
      </c>
      <c r="C254" s="336">
        <v>76</v>
      </c>
      <c r="D254" s="336">
        <v>68</v>
      </c>
      <c r="E254" s="336">
        <v>82</v>
      </c>
      <c r="F254" s="336">
        <v>96</v>
      </c>
      <c r="G254" s="336">
        <v>26</v>
      </c>
      <c r="H254" s="336">
        <v>9</v>
      </c>
      <c r="I254" s="336">
        <v>15</v>
      </c>
      <c r="J254" s="336">
        <v>6</v>
      </c>
      <c r="K254" s="336">
        <v>16</v>
      </c>
      <c r="L254" s="336">
        <v>16</v>
      </c>
      <c r="M254" s="152">
        <v>15</v>
      </c>
      <c r="N254" s="24"/>
      <c r="O254" s="140"/>
      <c r="P254" s="33"/>
    </row>
    <row r="255" spans="2:16">
      <c r="B255" s="3" t="s">
        <v>93</v>
      </c>
      <c r="C255" s="336">
        <v>31</v>
      </c>
      <c r="D255" s="336">
        <v>27</v>
      </c>
      <c r="E255" s="336">
        <v>33</v>
      </c>
      <c r="F255" s="336">
        <v>38</v>
      </c>
      <c r="G255" s="336">
        <v>10</v>
      </c>
      <c r="H255" s="336">
        <v>4</v>
      </c>
      <c r="I255" s="336">
        <v>6</v>
      </c>
      <c r="J255" s="336">
        <v>2</v>
      </c>
      <c r="K255" s="336">
        <v>4</v>
      </c>
      <c r="L255" s="336">
        <v>6</v>
      </c>
      <c r="M255" s="152">
        <v>5</v>
      </c>
      <c r="N255" s="24"/>
      <c r="O255" s="140"/>
      <c r="P255" s="33"/>
    </row>
    <row r="256" spans="2:16">
      <c r="B256" s="3" t="s">
        <v>97</v>
      </c>
      <c r="C256" s="336">
        <v>15</v>
      </c>
      <c r="D256" s="336">
        <v>13</v>
      </c>
      <c r="E256" s="336">
        <v>16</v>
      </c>
      <c r="F256" s="336">
        <v>19</v>
      </c>
      <c r="G256" s="336">
        <v>5</v>
      </c>
      <c r="H256" s="336">
        <v>2</v>
      </c>
      <c r="I256" s="336">
        <v>3</v>
      </c>
      <c r="J256" s="336">
        <v>1</v>
      </c>
      <c r="K256" s="336">
        <v>3</v>
      </c>
      <c r="L256" s="336">
        <v>3</v>
      </c>
      <c r="M256" s="152">
        <v>2</v>
      </c>
      <c r="N256" s="24"/>
      <c r="O256" s="140"/>
      <c r="P256" s="33"/>
    </row>
    <row r="257" spans="2:16">
      <c r="B257" s="5" t="s">
        <v>136</v>
      </c>
      <c r="C257" s="337">
        <v>504</v>
      </c>
      <c r="D257" s="337">
        <v>449</v>
      </c>
      <c r="E257" s="337">
        <v>543</v>
      </c>
      <c r="F257" s="337">
        <v>635</v>
      </c>
      <c r="G257" s="337">
        <v>173</v>
      </c>
      <c r="H257" s="337">
        <v>59</v>
      </c>
      <c r="I257" s="337">
        <v>102</v>
      </c>
      <c r="J257" s="337">
        <v>41</v>
      </c>
      <c r="K257" s="337">
        <v>101</v>
      </c>
      <c r="L257" s="337">
        <v>103</v>
      </c>
      <c r="M257" s="153">
        <v>99</v>
      </c>
      <c r="N257" s="41"/>
      <c r="O257" s="141"/>
      <c r="P257" s="33"/>
    </row>
    <row r="261" spans="2:16">
      <c r="B261" s="65"/>
      <c r="D261" s="65"/>
    </row>
    <row r="262" spans="2:16">
      <c r="B262" s="8" t="s">
        <v>155</v>
      </c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156"/>
      <c r="N262" s="156"/>
      <c r="O262" s="37"/>
    </row>
    <row r="263" spans="2:16">
      <c r="B263" s="3"/>
      <c r="I263" s="72"/>
      <c r="J263" s="72"/>
      <c r="K263" s="72"/>
      <c r="L263" s="151"/>
      <c r="O263" s="23"/>
    </row>
    <row r="264" spans="2:16">
      <c r="B264" s="3"/>
      <c r="C264" s="25" t="s">
        <v>0</v>
      </c>
      <c r="D264" s="25" t="s">
        <v>1</v>
      </c>
      <c r="E264" s="25" t="s">
        <v>2</v>
      </c>
      <c r="F264" s="25" t="s">
        <v>3</v>
      </c>
      <c r="G264" s="25" t="s">
        <v>4</v>
      </c>
      <c r="H264" s="25" t="s">
        <v>5</v>
      </c>
      <c r="I264" s="25" t="s">
        <v>6</v>
      </c>
      <c r="J264" s="25" t="s">
        <v>7</v>
      </c>
      <c r="K264" s="25" t="s">
        <v>8</v>
      </c>
      <c r="L264" s="25">
        <v>2011</v>
      </c>
      <c r="M264" s="152">
        <v>2012</v>
      </c>
      <c r="N264" s="157"/>
      <c r="O264" s="96"/>
      <c r="P264" s="25"/>
    </row>
    <row r="265" spans="2:16">
      <c r="B265" s="17" t="s">
        <v>102</v>
      </c>
      <c r="C265" s="339">
        <v>430668</v>
      </c>
      <c r="D265" s="339">
        <v>437347</v>
      </c>
      <c r="E265" s="339">
        <v>390106</v>
      </c>
      <c r="F265" s="339">
        <v>360661</v>
      </c>
      <c r="G265" s="339">
        <v>395291</v>
      </c>
      <c r="H265" s="339">
        <v>394544</v>
      </c>
      <c r="I265" s="339">
        <v>434146</v>
      </c>
      <c r="J265" s="339">
        <v>415399</v>
      </c>
      <c r="K265" s="339">
        <v>430716</v>
      </c>
      <c r="L265" s="339">
        <v>427049</v>
      </c>
      <c r="M265" s="152">
        <v>428883</v>
      </c>
      <c r="O265" s="23"/>
      <c r="P265" s="25"/>
    </row>
    <row r="266" spans="2:16">
      <c r="B266" s="3" t="s">
        <v>98</v>
      </c>
      <c r="C266" s="339">
        <v>20184</v>
      </c>
      <c r="D266" s="339">
        <v>20497</v>
      </c>
      <c r="E266" s="339">
        <v>18283</v>
      </c>
      <c r="F266" s="339">
        <v>16903</v>
      </c>
      <c r="G266" s="339">
        <v>18526</v>
      </c>
      <c r="H266" s="339">
        <v>18491</v>
      </c>
      <c r="I266" s="339">
        <v>20347</v>
      </c>
      <c r="J266" s="339">
        <v>18878</v>
      </c>
      <c r="K266" s="339">
        <v>20201</v>
      </c>
      <c r="L266" s="339">
        <v>19562</v>
      </c>
      <c r="M266" s="152">
        <v>19882</v>
      </c>
      <c r="O266" s="23"/>
      <c r="P266" s="25"/>
    </row>
    <row r="267" spans="2:16">
      <c r="B267" s="3" t="s">
        <v>99</v>
      </c>
      <c r="C267" s="339">
        <v>19295</v>
      </c>
      <c r="D267" s="339">
        <v>17734</v>
      </c>
      <c r="E267" s="339">
        <v>17622</v>
      </c>
      <c r="F267" s="339">
        <v>18266</v>
      </c>
      <c r="G267" s="339">
        <v>18587</v>
      </c>
      <c r="H267" s="339">
        <v>18484</v>
      </c>
      <c r="I267" s="339">
        <v>20390</v>
      </c>
      <c r="J267" s="339">
        <v>18308</v>
      </c>
      <c r="K267" s="339">
        <v>20626</v>
      </c>
      <c r="L267" s="339">
        <v>20502</v>
      </c>
      <c r="M267" s="152">
        <v>20564</v>
      </c>
      <c r="O267" s="23"/>
      <c r="P267" s="25"/>
    </row>
    <row r="268" spans="2:16">
      <c r="B268" s="3" t="s">
        <v>83</v>
      </c>
      <c r="C268" s="339">
        <v>32685</v>
      </c>
      <c r="D268" s="339">
        <v>34101</v>
      </c>
      <c r="E268" s="339">
        <v>30573</v>
      </c>
      <c r="F268" s="339">
        <v>29527</v>
      </c>
      <c r="G268" s="339">
        <v>33769</v>
      </c>
      <c r="H268" s="339">
        <v>33113</v>
      </c>
      <c r="I268" s="339">
        <v>37124</v>
      </c>
      <c r="J268" s="339">
        <v>32472</v>
      </c>
      <c r="K268" s="339">
        <v>36588</v>
      </c>
      <c r="L268" s="339">
        <v>36830</v>
      </c>
      <c r="M268" s="152">
        <v>36709</v>
      </c>
      <c r="O268" s="23"/>
      <c r="P268" s="25"/>
    </row>
    <row r="269" spans="2:16">
      <c r="B269" s="3" t="s">
        <v>84</v>
      </c>
      <c r="C269" s="339">
        <v>28025</v>
      </c>
      <c r="D269" s="339">
        <v>29107</v>
      </c>
      <c r="E269" s="339">
        <v>26483</v>
      </c>
      <c r="F269" s="339">
        <v>25737</v>
      </c>
      <c r="G269" s="339">
        <v>29741</v>
      </c>
      <c r="H269" s="339">
        <v>29832</v>
      </c>
      <c r="I269" s="339">
        <v>33644</v>
      </c>
      <c r="J269" s="339">
        <v>29332</v>
      </c>
      <c r="K269" s="339">
        <v>32672</v>
      </c>
      <c r="L269" s="339">
        <v>31820</v>
      </c>
      <c r="M269" s="152">
        <v>32246</v>
      </c>
      <c r="O269" s="23"/>
      <c r="P269" s="25"/>
    </row>
    <row r="270" spans="2:16">
      <c r="B270" s="3" t="s">
        <v>85</v>
      </c>
      <c r="C270" s="339">
        <v>25277</v>
      </c>
      <c r="D270" s="339">
        <v>26230</v>
      </c>
      <c r="E270" s="339">
        <v>23455</v>
      </c>
      <c r="F270" s="339">
        <v>23984</v>
      </c>
      <c r="G270" s="339">
        <v>27756</v>
      </c>
      <c r="H270" s="339">
        <v>27191</v>
      </c>
      <c r="I270" s="339">
        <v>31191</v>
      </c>
      <c r="J270" s="339">
        <v>27313</v>
      </c>
      <c r="K270" s="339">
        <v>30172</v>
      </c>
      <c r="L270" s="339">
        <v>29808</v>
      </c>
      <c r="M270" s="152">
        <v>29990</v>
      </c>
      <c r="O270" s="23"/>
      <c r="P270" s="25"/>
    </row>
    <row r="271" spans="2:16">
      <c r="B271" s="3" t="s">
        <v>86</v>
      </c>
      <c r="C271" s="339">
        <v>20803</v>
      </c>
      <c r="D271" s="339">
        <v>21768</v>
      </c>
      <c r="E271" s="339">
        <v>19762</v>
      </c>
      <c r="F271" s="339">
        <v>19822</v>
      </c>
      <c r="G271" s="339">
        <v>24286</v>
      </c>
      <c r="H271" s="339">
        <v>23279</v>
      </c>
      <c r="I271" s="339">
        <v>26355</v>
      </c>
      <c r="J271" s="339">
        <v>23549</v>
      </c>
      <c r="K271" s="339">
        <v>25940</v>
      </c>
      <c r="L271" s="339">
        <v>25256</v>
      </c>
      <c r="M271" s="152">
        <v>25598</v>
      </c>
      <c r="O271" s="23"/>
      <c r="P271" s="25"/>
    </row>
    <row r="272" spans="2:16">
      <c r="B272" s="3" t="s">
        <v>87</v>
      </c>
      <c r="C272" s="339">
        <v>16011</v>
      </c>
      <c r="D272" s="339">
        <v>17004</v>
      </c>
      <c r="E272" s="339">
        <v>15348</v>
      </c>
      <c r="F272" s="339">
        <v>15553</v>
      </c>
      <c r="G272" s="339">
        <v>19199</v>
      </c>
      <c r="H272" s="339">
        <v>19357</v>
      </c>
      <c r="I272" s="339">
        <v>21526</v>
      </c>
      <c r="J272" s="339">
        <v>18588</v>
      </c>
      <c r="K272" s="339">
        <v>20535</v>
      </c>
      <c r="L272" s="339">
        <v>19823</v>
      </c>
      <c r="M272" s="152">
        <v>20179</v>
      </c>
      <c r="O272" s="23"/>
      <c r="P272" s="25"/>
    </row>
    <row r="273" spans="2:16">
      <c r="B273" s="3" t="s">
        <v>88</v>
      </c>
      <c r="C273" s="339">
        <v>11041</v>
      </c>
      <c r="D273" s="339">
        <v>13331</v>
      </c>
      <c r="E273" s="339">
        <v>17691</v>
      </c>
      <c r="F273" s="339">
        <v>11776</v>
      </c>
      <c r="G273" s="339">
        <v>14541</v>
      </c>
      <c r="H273" s="339">
        <v>14579</v>
      </c>
      <c r="I273" s="339">
        <v>17242</v>
      </c>
      <c r="J273" s="339">
        <v>14009</v>
      </c>
      <c r="K273" s="339">
        <v>15314</v>
      </c>
      <c r="L273" s="339">
        <v>14756</v>
      </c>
      <c r="M273" s="152">
        <v>15035</v>
      </c>
      <c r="O273" s="23"/>
      <c r="P273" s="25"/>
    </row>
    <row r="274" spans="2:16">
      <c r="B274" s="3" t="s">
        <v>89</v>
      </c>
      <c r="C274" s="339">
        <v>8654</v>
      </c>
      <c r="D274" s="339">
        <v>9431</v>
      </c>
      <c r="E274" s="339">
        <v>6066</v>
      </c>
      <c r="F274" s="339">
        <v>7983</v>
      </c>
      <c r="G274" s="339">
        <v>10386</v>
      </c>
      <c r="H274" s="339">
        <v>10714</v>
      </c>
      <c r="I274" s="339">
        <v>13082</v>
      </c>
      <c r="J274" s="339">
        <v>10960</v>
      </c>
      <c r="K274" s="339">
        <v>11413</v>
      </c>
      <c r="L274" s="339">
        <v>10673</v>
      </c>
      <c r="M274" s="152">
        <v>11043</v>
      </c>
      <c r="O274" s="23"/>
      <c r="P274" s="25"/>
    </row>
    <row r="275" spans="2:16">
      <c r="B275" s="3" t="s">
        <v>90</v>
      </c>
      <c r="C275" s="339">
        <v>6286</v>
      </c>
      <c r="D275" s="339">
        <v>7025</v>
      </c>
      <c r="E275" s="339">
        <v>4872</v>
      </c>
      <c r="F275" s="339">
        <v>5822</v>
      </c>
      <c r="G275" s="339">
        <v>7237</v>
      </c>
      <c r="H275" s="339">
        <v>7758</v>
      </c>
      <c r="I275" s="339">
        <v>9788</v>
      </c>
      <c r="J275" s="339">
        <v>8227</v>
      </c>
      <c r="K275" s="339">
        <v>8876</v>
      </c>
      <c r="L275" s="339">
        <v>7816</v>
      </c>
      <c r="M275" s="152">
        <v>8346</v>
      </c>
      <c r="O275" s="23"/>
      <c r="P275" s="25"/>
    </row>
    <row r="276" spans="2:16">
      <c r="B276" s="3" t="s">
        <v>91</v>
      </c>
      <c r="C276" s="339">
        <v>4370</v>
      </c>
      <c r="D276" s="339">
        <v>4704</v>
      </c>
      <c r="E276" s="339">
        <v>3322</v>
      </c>
      <c r="F276" s="339">
        <v>4193</v>
      </c>
      <c r="G276" s="339">
        <v>5367</v>
      </c>
      <c r="H276" s="339">
        <v>5355</v>
      </c>
      <c r="I276" s="339">
        <v>7414</v>
      </c>
      <c r="J276" s="339">
        <v>6185</v>
      </c>
      <c r="K276" s="339">
        <v>6586</v>
      </c>
      <c r="L276" s="339">
        <v>6129</v>
      </c>
      <c r="M276" s="152">
        <v>6358</v>
      </c>
      <c r="O276" s="23"/>
      <c r="P276" s="25"/>
    </row>
    <row r="277" spans="2:16">
      <c r="B277" s="3" t="s">
        <v>92</v>
      </c>
      <c r="C277" s="339">
        <v>3270</v>
      </c>
      <c r="D277" s="339">
        <v>3671</v>
      </c>
      <c r="E277" s="339">
        <v>2788</v>
      </c>
      <c r="F277" s="339">
        <v>2996</v>
      </c>
      <c r="G277" s="339">
        <v>3770</v>
      </c>
      <c r="H277" s="339">
        <v>3996</v>
      </c>
      <c r="I277" s="339">
        <v>5827</v>
      </c>
      <c r="J277" s="339">
        <v>4552</v>
      </c>
      <c r="K277" s="339">
        <v>4823</v>
      </c>
      <c r="L277" s="339">
        <v>4322</v>
      </c>
      <c r="M277" s="152">
        <v>4573</v>
      </c>
      <c r="O277" s="23"/>
      <c r="P277" s="25"/>
    </row>
    <row r="278" spans="2:16">
      <c r="B278" s="3" t="s">
        <v>95</v>
      </c>
      <c r="C278" s="339">
        <v>2756</v>
      </c>
      <c r="D278" s="339">
        <v>3000</v>
      </c>
      <c r="E278" s="339">
        <v>2408</v>
      </c>
      <c r="F278" s="339">
        <v>2536</v>
      </c>
      <c r="G278" s="339">
        <v>2941</v>
      </c>
      <c r="H278" s="339">
        <v>3070</v>
      </c>
      <c r="I278" s="339">
        <v>4788</v>
      </c>
      <c r="J278" s="339">
        <v>3676</v>
      </c>
      <c r="K278" s="339">
        <v>4359</v>
      </c>
      <c r="L278" s="339">
        <v>4094</v>
      </c>
      <c r="M278" s="152">
        <v>4227</v>
      </c>
      <c r="N278" s="24"/>
      <c r="O278" s="133"/>
      <c r="P278" s="25"/>
    </row>
    <row r="279" spans="2:16">
      <c r="B279" s="3" t="s">
        <v>96</v>
      </c>
      <c r="C279" s="339">
        <v>1985</v>
      </c>
      <c r="D279" s="339">
        <v>2161</v>
      </c>
      <c r="E279" s="339">
        <v>1735</v>
      </c>
      <c r="F279" s="339">
        <v>1827</v>
      </c>
      <c r="G279" s="339">
        <v>2118</v>
      </c>
      <c r="H279" s="339">
        <v>2212</v>
      </c>
      <c r="I279" s="339">
        <v>3449</v>
      </c>
      <c r="J279" s="339">
        <v>2648</v>
      </c>
      <c r="K279" s="339">
        <v>3140</v>
      </c>
      <c r="L279" s="339">
        <v>2949</v>
      </c>
      <c r="M279" s="152">
        <v>3045</v>
      </c>
      <c r="N279" s="24"/>
      <c r="O279" s="133"/>
      <c r="P279" s="25"/>
    </row>
    <row r="280" spans="2:16">
      <c r="B280" s="3" t="s">
        <v>93</v>
      </c>
      <c r="C280" s="339">
        <v>1281</v>
      </c>
      <c r="D280" s="339">
        <v>1394</v>
      </c>
      <c r="E280" s="339">
        <v>1119</v>
      </c>
      <c r="F280" s="339">
        <v>1179</v>
      </c>
      <c r="G280" s="339">
        <v>1367</v>
      </c>
      <c r="H280" s="339">
        <v>1427</v>
      </c>
      <c r="I280" s="339">
        <v>2225</v>
      </c>
      <c r="J280" s="339">
        <v>1708</v>
      </c>
      <c r="K280" s="339">
        <v>2026</v>
      </c>
      <c r="L280" s="339">
        <v>1903</v>
      </c>
      <c r="M280" s="152">
        <v>1965</v>
      </c>
      <c r="N280" s="24"/>
      <c r="O280" s="133"/>
      <c r="P280" s="25"/>
    </row>
    <row r="281" spans="2:16">
      <c r="B281" s="3" t="s">
        <v>97</v>
      </c>
      <c r="C281" s="339">
        <v>705</v>
      </c>
      <c r="D281" s="339">
        <v>767</v>
      </c>
      <c r="E281" s="339">
        <v>616</v>
      </c>
      <c r="F281" s="339">
        <v>649</v>
      </c>
      <c r="G281" s="339">
        <v>752</v>
      </c>
      <c r="H281" s="339">
        <v>785</v>
      </c>
      <c r="I281" s="339">
        <v>1225</v>
      </c>
      <c r="J281" s="339">
        <v>940</v>
      </c>
      <c r="K281" s="339">
        <v>1115</v>
      </c>
      <c r="L281" s="339">
        <v>1047</v>
      </c>
      <c r="M281" s="152">
        <v>1081</v>
      </c>
      <c r="N281" s="24"/>
      <c r="O281" s="133"/>
      <c r="P281" s="25"/>
    </row>
    <row r="282" spans="2:16">
      <c r="B282" s="5" t="s">
        <v>136</v>
      </c>
      <c r="C282" s="340">
        <v>992</v>
      </c>
      <c r="D282" s="340">
        <v>1079</v>
      </c>
      <c r="E282" s="340">
        <v>866</v>
      </c>
      <c r="F282" s="340">
        <v>913</v>
      </c>
      <c r="G282" s="340">
        <v>1058</v>
      </c>
      <c r="H282" s="340">
        <v>1105</v>
      </c>
      <c r="I282" s="340">
        <v>1723</v>
      </c>
      <c r="J282" s="340">
        <v>1322</v>
      </c>
      <c r="K282" s="340">
        <v>1568</v>
      </c>
      <c r="L282" s="340">
        <v>1473</v>
      </c>
      <c r="M282" s="153">
        <v>1521</v>
      </c>
      <c r="N282" s="41"/>
      <c r="O282" s="142"/>
      <c r="P282" s="25"/>
    </row>
    <row r="283" spans="2:16" s="9" customFormat="1">
      <c r="B283" s="81"/>
      <c r="C283" s="47"/>
      <c r="D283" s="65"/>
      <c r="E283" s="47"/>
      <c r="F283" s="47"/>
      <c r="G283" s="47"/>
      <c r="H283" s="47"/>
      <c r="J283" s="47"/>
      <c r="K283" s="47"/>
      <c r="M283" s="24"/>
      <c r="N283" s="24"/>
      <c r="O283" s="22"/>
      <c r="P283" s="22"/>
    </row>
    <row r="286" spans="2:16">
      <c r="B286" s="8" t="s">
        <v>156</v>
      </c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158"/>
      <c r="N286" s="158"/>
      <c r="O286" s="6" t="s">
        <v>100</v>
      </c>
      <c r="P286" s="37">
        <f>SUM(D289:P306)</f>
        <v>212</v>
      </c>
    </row>
    <row r="287" spans="2:16">
      <c r="B287" s="3"/>
      <c r="M287" s="7"/>
      <c r="P287" s="23"/>
    </row>
    <row r="288" spans="2:16">
      <c r="B288" s="3"/>
      <c r="D288" s="338">
        <v>2002</v>
      </c>
      <c r="E288" s="338">
        <v>2003</v>
      </c>
      <c r="F288" s="338">
        <v>2004</v>
      </c>
      <c r="G288" s="338">
        <v>2005</v>
      </c>
      <c r="H288" s="338">
        <v>2006</v>
      </c>
      <c r="I288" s="338">
        <v>2007</v>
      </c>
      <c r="J288" s="338">
        <v>2008</v>
      </c>
      <c r="K288" s="338">
        <v>2009</v>
      </c>
      <c r="L288" s="338">
        <v>2010</v>
      </c>
      <c r="M288" s="321">
        <v>2011</v>
      </c>
      <c r="N288" s="321">
        <v>2012</v>
      </c>
      <c r="O288" s="95"/>
      <c r="P288" s="96"/>
    </row>
    <row r="289" spans="2:16">
      <c r="B289" s="17" t="s">
        <v>102</v>
      </c>
      <c r="D289" s="323">
        <f>D309+D327+D345+D363+D381+D399+D417+D435+D453+D471+D489+D507+D525+D543+D561+D579</f>
        <v>0</v>
      </c>
      <c r="E289" s="323">
        <f t="shared" ref="E289:N289" si="36">E309+E327+E345+E363+E381+E399+E417+E435+E453+E471+E489+E507+E525+E543+E561+E579</f>
        <v>0</v>
      </c>
      <c r="F289" s="323">
        <f t="shared" si="36"/>
        <v>0</v>
      </c>
      <c r="G289" s="323">
        <f t="shared" si="36"/>
        <v>0</v>
      </c>
      <c r="H289" s="323">
        <f t="shared" si="36"/>
        <v>0</v>
      </c>
      <c r="I289" s="323">
        <f t="shared" si="36"/>
        <v>0</v>
      </c>
      <c r="J289" s="323">
        <f t="shared" si="36"/>
        <v>0</v>
      </c>
      <c r="K289" s="323">
        <f t="shared" si="36"/>
        <v>0</v>
      </c>
      <c r="L289" s="323">
        <f t="shared" si="36"/>
        <v>0</v>
      </c>
      <c r="M289" s="323">
        <f t="shared" si="36"/>
        <v>0</v>
      </c>
      <c r="N289" s="323">
        <f t="shared" si="36"/>
        <v>0</v>
      </c>
      <c r="P289" s="23"/>
    </row>
    <row r="290" spans="2:16">
      <c r="B290" s="3" t="s">
        <v>98</v>
      </c>
      <c r="D290" s="323">
        <f t="shared" ref="D290:N290" si="37">D310+D328+D346+D364+D382+D400+D418+D436+D454+D472+D490+D508+D526+D544+D562+D580</f>
        <v>0</v>
      </c>
      <c r="E290" s="323">
        <f t="shared" si="37"/>
        <v>0</v>
      </c>
      <c r="F290" s="323">
        <f t="shared" si="37"/>
        <v>0</v>
      </c>
      <c r="G290" s="323">
        <f t="shared" si="37"/>
        <v>0</v>
      </c>
      <c r="H290" s="323">
        <f t="shared" si="37"/>
        <v>0</v>
      </c>
      <c r="I290" s="323">
        <f t="shared" si="37"/>
        <v>0</v>
      </c>
      <c r="J290" s="323">
        <f t="shared" si="37"/>
        <v>0</v>
      </c>
      <c r="K290" s="323">
        <f t="shared" si="37"/>
        <v>0</v>
      </c>
      <c r="L290" s="323">
        <f t="shared" si="37"/>
        <v>0</v>
      </c>
      <c r="M290" s="323">
        <f t="shared" si="37"/>
        <v>0</v>
      </c>
      <c r="N290" s="323">
        <f t="shared" si="37"/>
        <v>0</v>
      </c>
      <c r="P290" s="23"/>
    </row>
    <row r="291" spans="2:16">
      <c r="B291" s="3" t="s">
        <v>99</v>
      </c>
      <c r="D291" s="323">
        <f t="shared" ref="D291:N291" si="38">D311+D329+D347+D365+D383+D401+D419+D437+D455+D473+D491+D509+D527+D545+D563+D581</f>
        <v>0</v>
      </c>
      <c r="E291" s="323">
        <f t="shared" si="38"/>
        <v>0</v>
      </c>
      <c r="F291" s="323">
        <f t="shared" si="38"/>
        <v>0</v>
      </c>
      <c r="G291" s="323">
        <f t="shared" si="38"/>
        <v>0</v>
      </c>
      <c r="H291" s="323">
        <f t="shared" si="38"/>
        <v>0</v>
      </c>
      <c r="I291" s="323">
        <f t="shared" si="38"/>
        <v>0</v>
      </c>
      <c r="J291" s="323">
        <f t="shared" si="38"/>
        <v>0</v>
      </c>
      <c r="K291" s="323">
        <f t="shared" si="38"/>
        <v>0</v>
      </c>
      <c r="L291" s="323">
        <f t="shared" si="38"/>
        <v>0</v>
      </c>
      <c r="M291" s="323">
        <f t="shared" si="38"/>
        <v>0</v>
      </c>
      <c r="N291" s="323">
        <f t="shared" si="38"/>
        <v>0</v>
      </c>
      <c r="P291" s="23"/>
    </row>
    <row r="292" spans="2:16">
      <c r="B292" s="3" t="s">
        <v>83</v>
      </c>
      <c r="D292" s="323">
        <f t="shared" ref="D292:N292" si="39">D312+D330+D348+D366+D384+D402+D420+D438+D456+D474+D492+D510+D528+D546+D564+D582</f>
        <v>1</v>
      </c>
      <c r="E292" s="323">
        <f t="shared" si="39"/>
        <v>2</v>
      </c>
      <c r="F292" s="323">
        <f t="shared" si="39"/>
        <v>0</v>
      </c>
      <c r="G292" s="323">
        <f t="shared" si="39"/>
        <v>0</v>
      </c>
      <c r="H292" s="323">
        <f t="shared" si="39"/>
        <v>0</v>
      </c>
      <c r="I292" s="323">
        <f t="shared" si="39"/>
        <v>0</v>
      </c>
      <c r="J292" s="323">
        <f t="shared" si="39"/>
        <v>0</v>
      </c>
      <c r="K292" s="323">
        <f t="shared" si="39"/>
        <v>0</v>
      </c>
      <c r="L292" s="323">
        <f t="shared" si="39"/>
        <v>0</v>
      </c>
      <c r="M292" s="323">
        <f t="shared" si="39"/>
        <v>0</v>
      </c>
      <c r="N292" s="323">
        <f t="shared" si="39"/>
        <v>0</v>
      </c>
      <c r="P292" s="23"/>
    </row>
    <row r="293" spans="2:16">
      <c r="B293" s="3" t="s">
        <v>84</v>
      </c>
      <c r="D293" s="323">
        <f t="shared" ref="D293:N293" si="40">D313+D331+D349+D367+D385+D403+D421+D439+D457+D475+D493+D511+D529+D547+D565+D583</f>
        <v>3</v>
      </c>
      <c r="E293" s="323">
        <f t="shared" si="40"/>
        <v>1</v>
      </c>
      <c r="F293" s="323">
        <f t="shared" si="40"/>
        <v>1</v>
      </c>
      <c r="G293" s="323">
        <f t="shared" si="40"/>
        <v>0</v>
      </c>
      <c r="H293" s="323">
        <f t="shared" si="40"/>
        <v>1</v>
      </c>
      <c r="I293" s="323">
        <f t="shared" si="40"/>
        <v>0</v>
      </c>
      <c r="J293" s="323">
        <f t="shared" si="40"/>
        <v>1</v>
      </c>
      <c r="K293" s="323">
        <f t="shared" si="40"/>
        <v>0</v>
      </c>
      <c r="L293" s="323">
        <f t="shared" si="40"/>
        <v>0</v>
      </c>
      <c r="M293" s="323">
        <f t="shared" si="40"/>
        <v>0</v>
      </c>
      <c r="N293" s="323">
        <f t="shared" si="40"/>
        <v>0</v>
      </c>
      <c r="P293" s="23"/>
    </row>
    <row r="294" spans="2:16">
      <c r="B294" s="3" t="s">
        <v>85</v>
      </c>
      <c r="D294" s="323">
        <f t="shared" ref="D294:N294" si="41">D314+D332+D350+D368+D386+D404+D422+D440+D458+D476+D494+D512+D530+D548+D566+D584</f>
        <v>4</v>
      </c>
      <c r="E294" s="323">
        <f t="shared" si="41"/>
        <v>3</v>
      </c>
      <c r="F294" s="323">
        <f t="shared" si="41"/>
        <v>1</v>
      </c>
      <c r="G294" s="323">
        <f t="shared" si="41"/>
        <v>3</v>
      </c>
      <c r="H294" s="323">
        <f t="shared" si="41"/>
        <v>1</v>
      </c>
      <c r="I294" s="323">
        <f t="shared" si="41"/>
        <v>0</v>
      </c>
      <c r="J294" s="323">
        <f t="shared" si="41"/>
        <v>0</v>
      </c>
      <c r="K294" s="323">
        <f t="shared" si="41"/>
        <v>0</v>
      </c>
      <c r="L294" s="323">
        <f t="shared" si="41"/>
        <v>0</v>
      </c>
      <c r="M294" s="323">
        <f t="shared" si="41"/>
        <v>0</v>
      </c>
      <c r="N294" s="323">
        <f t="shared" si="41"/>
        <v>0</v>
      </c>
      <c r="P294" s="23"/>
    </row>
    <row r="295" spans="2:16">
      <c r="B295" s="3" t="s">
        <v>86</v>
      </c>
      <c r="D295" s="323">
        <f t="shared" ref="D295:N295" si="42">D315+D333+D351+D369+D387+D405+D423+D441+D459+D477+D495+D513+D531+D549+D567+D585</f>
        <v>14</v>
      </c>
      <c r="E295" s="323">
        <f t="shared" si="42"/>
        <v>2</v>
      </c>
      <c r="F295" s="323">
        <f t="shared" si="42"/>
        <v>1</v>
      </c>
      <c r="G295" s="323">
        <f t="shared" si="42"/>
        <v>0</v>
      </c>
      <c r="H295" s="323">
        <f t="shared" si="42"/>
        <v>0</v>
      </c>
      <c r="I295" s="323">
        <f t="shared" si="42"/>
        <v>0</v>
      </c>
      <c r="J295" s="323">
        <f t="shared" si="42"/>
        <v>0</v>
      </c>
      <c r="K295" s="323">
        <f t="shared" si="42"/>
        <v>0</v>
      </c>
      <c r="L295" s="323">
        <f t="shared" si="42"/>
        <v>0</v>
      </c>
      <c r="M295" s="323">
        <f t="shared" si="42"/>
        <v>0</v>
      </c>
      <c r="N295" s="323">
        <f t="shared" si="42"/>
        <v>0</v>
      </c>
      <c r="P295" s="23"/>
    </row>
    <row r="296" spans="2:16">
      <c r="B296" s="3" t="s">
        <v>87</v>
      </c>
      <c r="D296" s="323">
        <f t="shared" ref="D296:N296" si="43">D316+D334+D352+D370+D388+D406+D424+D442+D460+D478+D496+D514+D532+D550+D568+D586</f>
        <v>30</v>
      </c>
      <c r="E296" s="323">
        <f t="shared" si="43"/>
        <v>8</v>
      </c>
      <c r="F296" s="323">
        <f t="shared" si="43"/>
        <v>2</v>
      </c>
      <c r="G296" s="323">
        <f t="shared" si="43"/>
        <v>1</v>
      </c>
      <c r="H296" s="323">
        <f t="shared" si="43"/>
        <v>0</v>
      </c>
      <c r="I296" s="323">
        <f t="shared" si="43"/>
        <v>0</v>
      </c>
      <c r="J296" s="323">
        <f t="shared" si="43"/>
        <v>0</v>
      </c>
      <c r="K296" s="323">
        <f t="shared" si="43"/>
        <v>0</v>
      </c>
      <c r="L296" s="323">
        <f t="shared" si="43"/>
        <v>0</v>
      </c>
      <c r="M296" s="323">
        <f t="shared" si="43"/>
        <v>0</v>
      </c>
      <c r="N296" s="323">
        <f t="shared" si="43"/>
        <v>0</v>
      </c>
      <c r="P296" s="23"/>
    </row>
    <row r="297" spans="2:16">
      <c r="B297" s="3" t="s">
        <v>88</v>
      </c>
      <c r="D297" s="323">
        <f t="shared" ref="D297:N297" si="44">D317+D335+D353+D371+D389+D407+D425+D443+D461+D479+D497+D515+D533+D551+D569+D587</f>
        <v>19</v>
      </c>
      <c r="E297" s="323">
        <f t="shared" si="44"/>
        <v>13</v>
      </c>
      <c r="F297" s="323">
        <f t="shared" si="44"/>
        <v>3</v>
      </c>
      <c r="G297" s="323">
        <f t="shared" si="44"/>
        <v>0</v>
      </c>
      <c r="H297" s="323">
        <f t="shared" si="44"/>
        <v>0</v>
      </c>
      <c r="I297" s="323">
        <f t="shared" si="44"/>
        <v>0</v>
      </c>
      <c r="J297" s="323">
        <f t="shared" si="44"/>
        <v>0</v>
      </c>
      <c r="K297" s="323">
        <f t="shared" si="44"/>
        <v>0</v>
      </c>
      <c r="L297" s="323">
        <f t="shared" si="44"/>
        <v>0</v>
      </c>
      <c r="M297" s="323">
        <f t="shared" si="44"/>
        <v>0</v>
      </c>
      <c r="N297" s="323">
        <f t="shared" si="44"/>
        <v>0</v>
      </c>
      <c r="P297" s="23"/>
    </row>
    <row r="298" spans="2:16">
      <c r="B298" s="3" t="s">
        <v>89</v>
      </c>
      <c r="D298" s="323">
        <f t="shared" ref="D298:N298" si="45">D318+D336+D354+D372+D390+D408+D426+D444+D462+D480+D498+D516+D534+D552+D570+D588</f>
        <v>14</v>
      </c>
      <c r="E298" s="323">
        <f t="shared" si="45"/>
        <v>7</v>
      </c>
      <c r="F298" s="323">
        <f t="shared" si="45"/>
        <v>4</v>
      </c>
      <c r="G298" s="323">
        <f t="shared" si="45"/>
        <v>2</v>
      </c>
      <c r="H298" s="323">
        <f t="shared" si="45"/>
        <v>1</v>
      </c>
      <c r="I298" s="323">
        <f t="shared" si="45"/>
        <v>1</v>
      </c>
      <c r="J298" s="323">
        <f t="shared" si="45"/>
        <v>0</v>
      </c>
      <c r="K298" s="323">
        <f t="shared" si="45"/>
        <v>0</v>
      </c>
      <c r="L298" s="323">
        <f t="shared" si="45"/>
        <v>0</v>
      </c>
      <c r="M298" s="323">
        <f t="shared" si="45"/>
        <v>0</v>
      </c>
      <c r="N298" s="323">
        <f t="shared" si="45"/>
        <v>0</v>
      </c>
      <c r="P298" s="23"/>
    </row>
    <row r="299" spans="2:16">
      <c r="B299" s="3" t="s">
        <v>90</v>
      </c>
      <c r="D299" s="323">
        <f t="shared" ref="D299:N299" si="46">D319+D337+D355+D373+D391+D409+D427+D445+D463+D481+D499+D517+D535+D553+D571+D589</f>
        <v>3</v>
      </c>
      <c r="E299" s="323">
        <f t="shared" si="46"/>
        <v>3</v>
      </c>
      <c r="F299" s="323">
        <f t="shared" si="46"/>
        <v>6</v>
      </c>
      <c r="G299" s="323">
        <f t="shared" si="46"/>
        <v>2</v>
      </c>
      <c r="H299" s="323">
        <f t="shared" si="46"/>
        <v>0</v>
      </c>
      <c r="I299" s="323">
        <f t="shared" si="46"/>
        <v>0</v>
      </c>
      <c r="J299" s="323">
        <f t="shared" si="46"/>
        <v>0</v>
      </c>
      <c r="K299" s="323">
        <f t="shared" si="46"/>
        <v>0</v>
      </c>
      <c r="L299" s="323">
        <f t="shared" si="46"/>
        <v>0</v>
      </c>
      <c r="M299" s="323">
        <f t="shared" si="46"/>
        <v>0</v>
      </c>
      <c r="N299" s="323">
        <f t="shared" si="46"/>
        <v>0</v>
      </c>
      <c r="P299" s="23"/>
    </row>
    <row r="300" spans="2:16">
      <c r="B300" s="3" t="s">
        <v>91</v>
      </c>
      <c r="D300" s="323">
        <f t="shared" ref="D300:N300" si="47">D320+D338+D356+D374+D392+D410+D428+D446+D464+D482+D500+D518+D536+D554+D572+D590</f>
        <v>2</v>
      </c>
      <c r="E300" s="323">
        <f t="shared" si="47"/>
        <v>3</v>
      </c>
      <c r="F300" s="323">
        <f t="shared" si="47"/>
        <v>2</v>
      </c>
      <c r="G300" s="323">
        <f t="shared" si="47"/>
        <v>4</v>
      </c>
      <c r="H300" s="323">
        <f t="shared" si="47"/>
        <v>2</v>
      </c>
      <c r="I300" s="323">
        <f t="shared" si="47"/>
        <v>0</v>
      </c>
      <c r="J300" s="323">
        <f t="shared" si="47"/>
        <v>0</v>
      </c>
      <c r="K300" s="323">
        <f t="shared" si="47"/>
        <v>0</v>
      </c>
      <c r="L300" s="323">
        <f t="shared" si="47"/>
        <v>0</v>
      </c>
      <c r="M300" s="323">
        <f t="shared" si="47"/>
        <v>0</v>
      </c>
      <c r="N300" s="323">
        <f t="shared" si="47"/>
        <v>0</v>
      </c>
      <c r="P300" s="23"/>
    </row>
    <row r="301" spans="2:16">
      <c r="B301" s="3" t="s">
        <v>92</v>
      </c>
      <c r="D301" s="323">
        <f t="shared" ref="D301:N301" si="48">D321+D339+D357+D375+D393+D411+D429+D447+D465+D483+D501+D519+D537+D555+D573+D591</f>
        <v>1</v>
      </c>
      <c r="E301" s="323">
        <f t="shared" si="48"/>
        <v>3</v>
      </c>
      <c r="F301" s="323">
        <f t="shared" si="48"/>
        <v>1</v>
      </c>
      <c r="G301" s="323">
        <f t="shared" si="48"/>
        <v>1</v>
      </c>
      <c r="H301" s="323">
        <f t="shared" si="48"/>
        <v>0</v>
      </c>
      <c r="I301" s="323">
        <f t="shared" si="48"/>
        <v>1</v>
      </c>
      <c r="J301" s="323">
        <f t="shared" si="48"/>
        <v>0</v>
      </c>
      <c r="K301" s="323">
        <f t="shared" si="48"/>
        <v>0</v>
      </c>
      <c r="L301" s="323">
        <f t="shared" si="48"/>
        <v>0</v>
      </c>
      <c r="M301" s="323">
        <f t="shared" si="48"/>
        <v>0</v>
      </c>
      <c r="N301" s="323">
        <f t="shared" si="48"/>
        <v>0</v>
      </c>
      <c r="P301" s="23"/>
    </row>
    <row r="302" spans="2:16">
      <c r="B302" s="3" t="s">
        <v>95</v>
      </c>
      <c r="D302" s="323">
        <f t="shared" ref="D302:N302" si="49">D322+D340+D358+D376+D394+D412+D430+D448+D466+D484+D502+D520+D538+D556+D574+D592</f>
        <v>2</v>
      </c>
      <c r="E302" s="323">
        <f t="shared" si="49"/>
        <v>2</v>
      </c>
      <c r="F302" s="323">
        <f t="shared" si="49"/>
        <v>2</v>
      </c>
      <c r="G302" s="323">
        <f t="shared" si="49"/>
        <v>1</v>
      </c>
      <c r="H302" s="323">
        <f t="shared" si="49"/>
        <v>0</v>
      </c>
      <c r="I302" s="323">
        <f t="shared" si="49"/>
        <v>2</v>
      </c>
      <c r="J302" s="323">
        <f t="shared" si="49"/>
        <v>0</v>
      </c>
      <c r="K302" s="323">
        <f t="shared" si="49"/>
        <v>0</v>
      </c>
      <c r="L302" s="323">
        <f t="shared" si="49"/>
        <v>0</v>
      </c>
      <c r="M302" s="323">
        <f t="shared" si="49"/>
        <v>0</v>
      </c>
      <c r="N302" s="323">
        <f t="shared" si="49"/>
        <v>0</v>
      </c>
      <c r="P302" s="23"/>
    </row>
    <row r="303" spans="2:16">
      <c r="B303" s="3" t="s">
        <v>96</v>
      </c>
      <c r="D303" s="323">
        <f t="shared" ref="D303:N303" si="50">D323+D341+D359+D377+D395+D413+D431+D449+D467+D485+D503+D521+D539+D557+D575+D593</f>
        <v>1</v>
      </c>
      <c r="E303" s="323">
        <f t="shared" si="50"/>
        <v>2</v>
      </c>
      <c r="F303" s="323">
        <f t="shared" si="50"/>
        <v>1</v>
      </c>
      <c r="G303" s="323">
        <f t="shared" si="50"/>
        <v>1</v>
      </c>
      <c r="H303" s="323">
        <f t="shared" si="50"/>
        <v>1</v>
      </c>
      <c r="I303" s="323">
        <f t="shared" si="50"/>
        <v>0</v>
      </c>
      <c r="J303" s="323">
        <f t="shared" si="50"/>
        <v>0</v>
      </c>
      <c r="K303" s="323">
        <f t="shared" si="50"/>
        <v>0</v>
      </c>
      <c r="L303" s="323">
        <f t="shared" si="50"/>
        <v>0</v>
      </c>
      <c r="M303" s="323">
        <f t="shared" si="50"/>
        <v>0</v>
      </c>
      <c r="N303" s="323">
        <f t="shared" si="50"/>
        <v>0</v>
      </c>
      <c r="P303" s="23"/>
    </row>
    <row r="304" spans="2:16">
      <c r="B304" s="3" t="s">
        <v>93</v>
      </c>
      <c r="D304" s="323">
        <f t="shared" ref="D304:N304" si="51">D324+D342+D360+D378+D396+D414+D432+D450+D468+D486+D504+D522+D540+D558+D576+D594</f>
        <v>3</v>
      </c>
      <c r="E304" s="323">
        <f t="shared" si="51"/>
        <v>2</v>
      </c>
      <c r="F304" s="323">
        <f t="shared" si="51"/>
        <v>1</v>
      </c>
      <c r="G304" s="323">
        <f t="shared" si="51"/>
        <v>0</v>
      </c>
      <c r="H304" s="323">
        <f t="shared" si="51"/>
        <v>1</v>
      </c>
      <c r="I304" s="323">
        <f t="shared" si="51"/>
        <v>0</v>
      </c>
      <c r="J304" s="323">
        <f t="shared" si="51"/>
        <v>0</v>
      </c>
      <c r="K304" s="323">
        <f t="shared" si="51"/>
        <v>1</v>
      </c>
      <c r="L304" s="323">
        <f t="shared" si="51"/>
        <v>0</v>
      </c>
      <c r="M304" s="323">
        <f t="shared" si="51"/>
        <v>0</v>
      </c>
      <c r="N304" s="323">
        <f t="shared" si="51"/>
        <v>0</v>
      </c>
      <c r="P304" s="23"/>
    </row>
    <row r="305" spans="1:16">
      <c r="B305" s="3" t="s">
        <v>97</v>
      </c>
      <c r="D305" s="323">
        <f t="shared" ref="D305:N305" si="52">D325+D343+D361+D379+D397+D415+D433+D451+D469+D487+D505+D523+D541+D559+D577+D595</f>
        <v>2</v>
      </c>
      <c r="E305" s="323">
        <f t="shared" si="52"/>
        <v>1</v>
      </c>
      <c r="F305" s="323">
        <f t="shared" si="52"/>
        <v>0</v>
      </c>
      <c r="G305" s="323">
        <f t="shared" si="52"/>
        <v>1</v>
      </c>
      <c r="H305" s="323">
        <f t="shared" si="52"/>
        <v>1</v>
      </c>
      <c r="I305" s="323">
        <f t="shared" si="52"/>
        <v>0</v>
      </c>
      <c r="J305" s="323">
        <f t="shared" si="52"/>
        <v>0</v>
      </c>
      <c r="K305" s="323">
        <f t="shared" si="52"/>
        <v>0</v>
      </c>
      <c r="L305" s="323">
        <f t="shared" si="52"/>
        <v>0</v>
      </c>
      <c r="M305" s="323">
        <f t="shared" si="52"/>
        <v>0</v>
      </c>
      <c r="N305" s="323">
        <f t="shared" si="52"/>
        <v>0</v>
      </c>
      <c r="P305" s="23"/>
    </row>
    <row r="306" spans="1:16">
      <c r="B306" s="5" t="s">
        <v>136</v>
      </c>
      <c r="C306" s="45"/>
      <c r="D306" s="322">
        <f t="shared" ref="D306:N306" si="53">D326+D344+D362+D380+D398+D416+D434+D452+D470+D488+D506+D524+D542+D560+D578+D596</f>
        <v>2</v>
      </c>
      <c r="E306" s="322">
        <f t="shared" si="53"/>
        <v>1</v>
      </c>
      <c r="F306" s="322">
        <f t="shared" si="53"/>
        <v>2</v>
      </c>
      <c r="G306" s="322">
        <f t="shared" si="53"/>
        <v>1</v>
      </c>
      <c r="H306" s="322">
        <f t="shared" si="53"/>
        <v>0</v>
      </c>
      <c r="I306" s="322">
        <f t="shared" si="53"/>
        <v>0</v>
      </c>
      <c r="J306" s="322">
        <f t="shared" si="53"/>
        <v>0</v>
      </c>
      <c r="K306" s="322">
        <f t="shared" si="53"/>
        <v>0</v>
      </c>
      <c r="L306" s="322">
        <f t="shared" si="53"/>
        <v>0</v>
      </c>
      <c r="M306" s="322">
        <f t="shared" si="53"/>
        <v>0</v>
      </c>
      <c r="N306" s="322">
        <f t="shared" si="53"/>
        <v>0</v>
      </c>
      <c r="O306" s="36"/>
      <c r="P306" s="27"/>
    </row>
    <row r="307" spans="1:16">
      <c r="B307" s="21"/>
      <c r="K307" s="25"/>
    </row>
    <row r="308" spans="1:16">
      <c r="B308" s="2" t="s">
        <v>158</v>
      </c>
      <c r="C308" s="6"/>
      <c r="D308" s="175">
        <v>2002</v>
      </c>
      <c r="E308" s="175">
        <v>2003</v>
      </c>
      <c r="F308" s="175">
        <v>2004</v>
      </c>
      <c r="G308" s="175">
        <v>2005</v>
      </c>
      <c r="H308" s="175">
        <v>2006</v>
      </c>
      <c r="I308" s="175">
        <v>2007</v>
      </c>
      <c r="J308" s="175">
        <v>2008</v>
      </c>
      <c r="K308" s="175">
        <v>2009</v>
      </c>
      <c r="L308" s="175">
        <v>2010</v>
      </c>
      <c r="M308" s="156">
        <v>2011</v>
      </c>
      <c r="N308" s="159">
        <v>2012</v>
      </c>
      <c r="O308" s="97"/>
      <c r="P308" s="98"/>
    </row>
    <row r="309" spans="1:16">
      <c r="A309" s="100"/>
      <c r="B309" s="85" t="s">
        <v>157</v>
      </c>
      <c r="C309" s="100" t="s">
        <v>102</v>
      </c>
      <c r="D309" s="341">
        <v>0</v>
      </c>
      <c r="E309" s="341">
        <v>0</v>
      </c>
      <c r="F309" s="341">
        <v>0</v>
      </c>
      <c r="G309" s="341">
        <v>0</v>
      </c>
      <c r="H309" s="341">
        <v>0</v>
      </c>
      <c r="I309" s="341">
        <v>0</v>
      </c>
      <c r="J309" s="341">
        <v>0</v>
      </c>
      <c r="K309" s="341">
        <v>0</v>
      </c>
      <c r="L309" s="341">
        <v>0</v>
      </c>
      <c r="M309" s="341">
        <v>0</v>
      </c>
      <c r="N309" s="341">
        <v>0</v>
      </c>
      <c r="O309" s="82"/>
      <c r="P309" s="86"/>
    </row>
    <row r="310" spans="1:16">
      <c r="A310" s="100"/>
      <c r="B310" s="85"/>
      <c r="C310" s="100" t="s">
        <v>98</v>
      </c>
      <c r="D310" s="341">
        <v>0</v>
      </c>
      <c r="E310" s="341">
        <v>0</v>
      </c>
      <c r="F310" s="341">
        <v>0</v>
      </c>
      <c r="G310" s="341">
        <v>0</v>
      </c>
      <c r="H310" s="341">
        <v>0</v>
      </c>
      <c r="I310" s="341">
        <v>0</v>
      </c>
      <c r="J310" s="341">
        <v>0</v>
      </c>
      <c r="K310" s="341">
        <v>0</v>
      </c>
      <c r="L310" s="341">
        <v>0</v>
      </c>
      <c r="M310" s="341">
        <v>0</v>
      </c>
      <c r="N310" s="341">
        <v>0</v>
      </c>
      <c r="O310" s="82"/>
      <c r="P310" s="86"/>
    </row>
    <row r="311" spans="1:16">
      <c r="A311" s="100"/>
      <c r="B311" s="85"/>
      <c r="C311" s="100" t="s">
        <v>99</v>
      </c>
      <c r="D311" s="341">
        <v>0</v>
      </c>
      <c r="E311" s="341">
        <v>0</v>
      </c>
      <c r="F311" s="341">
        <v>0</v>
      </c>
      <c r="G311" s="341">
        <v>0</v>
      </c>
      <c r="H311" s="341">
        <v>0</v>
      </c>
      <c r="I311" s="341">
        <v>0</v>
      </c>
      <c r="J311" s="341">
        <v>0</v>
      </c>
      <c r="K311" s="341">
        <v>0</v>
      </c>
      <c r="L311" s="341">
        <v>0</v>
      </c>
      <c r="M311" s="341">
        <v>0</v>
      </c>
      <c r="N311" s="341">
        <v>0</v>
      </c>
      <c r="O311" s="82"/>
      <c r="P311" s="86"/>
    </row>
    <row r="312" spans="1:16">
      <c r="A312" s="100"/>
      <c r="B312" s="85"/>
      <c r="C312" s="100" t="s">
        <v>83</v>
      </c>
      <c r="D312" s="341">
        <v>0</v>
      </c>
      <c r="E312" s="341">
        <v>0</v>
      </c>
      <c r="F312" s="341">
        <v>0</v>
      </c>
      <c r="G312" s="341">
        <v>0</v>
      </c>
      <c r="H312" s="341">
        <v>0</v>
      </c>
      <c r="I312" s="341">
        <v>0</v>
      </c>
      <c r="J312" s="341">
        <v>0</v>
      </c>
      <c r="K312" s="341">
        <v>0</v>
      </c>
      <c r="L312" s="341">
        <v>0</v>
      </c>
      <c r="M312" s="341">
        <v>0</v>
      </c>
      <c r="N312" s="341">
        <v>0</v>
      </c>
      <c r="O312" s="82"/>
      <c r="P312" s="86"/>
    </row>
    <row r="313" spans="1:16">
      <c r="A313" s="100"/>
      <c r="B313" s="85"/>
      <c r="C313" s="100" t="s">
        <v>84</v>
      </c>
      <c r="D313" s="341">
        <v>0</v>
      </c>
      <c r="E313" s="341">
        <v>0</v>
      </c>
      <c r="F313" s="341">
        <v>0</v>
      </c>
      <c r="G313" s="341">
        <v>0</v>
      </c>
      <c r="H313" s="341">
        <v>0</v>
      </c>
      <c r="I313" s="341">
        <v>0</v>
      </c>
      <c r="J313" s="341">
        <v>0</v>
      </c>
      <c r="K313" s="341">
        <v>0</v>
      </c>
      <c r="L313" s="341">
        <v>0</v>
      </c>
      <c r="M313" s="341">
        <v>0</v>
      </c>
      <c r="N313" s="341">
        <v>0</v>
      </c>
      <c r="O313" s="82"/>
      <c r="P313" s="86"/>
    </row>
    <row r="314" spans="1:16">
      <c r="A314" s="100"/>
      <c r="B314" s="85"/>
      <c r="C314" s="100" t="s">
        <v>85</v>
      </c>
      <c r="D314" s="341">
        <v>0</v>
      </c>
      <c r="E314" s="341">
        <v>0</v>
      </c>
      <c r="F314" s="341">
        <v>0</v>
      </c>
      <c r="G314" s="341">
        <v>0</v>
      </c>
      <c r="H314" s="341">
        <v>0</v>
      </c>
      <c r="I314" s="341">
        <v>0</v>
      </c>
      <c r="J314" s="341">
        <v>0</v>
      </c>
      <c r="K314" s="341">
        <v>0</v>
      </c>
      <c r="L314" s="341">
        <v>0</v>
      </c>
      <c r="M314" s="341">
        <v>0</v>
      </c>
      <c r="N314" s="341">
        <v>0</v>
      </c>
      <c r="O314" s="82"/>
      <c r="P314" s="86"/>
    </row>
    <row r="315" spans="1:16">
      <c r="A315" s="100"/>
      <c r="B315" s="85"/>
      <c r="C315" s="100" t="s">
        <v>86</v>
      </c>
      <c r="D315" s="341">
        <v>0</v>
      </c>
      <c r="E315" s="341">
        <v>0</v>
      </c>
      <c r="F315" s="341">
        <v>0</v>
      </c>
      <c r="G315" s="341">
        <v>0</v>
      </c>
      <c r="H315" s="341">
        <v>0</v>
      </c>
      <c r="I315" s="341">
        <v>0</v>
      </c>
      <c r="J315" s="341">
        <v>0</v>
      </c>
      <c r="K315" s="341">
        <v>0</v>
      </c>
      <c r="L315" s="341">
        <v>0</v>
      </c>
      <c r="M315" s="341">
        <v>0</v>
      </c>
      <c r="N315" s="341">
        <v>0</v>
      </c>
      <c r="O315" s="82"/>
      <c r="P315" s="86"/>
    </row>
    <row r="316" spans="1:16">
      <c r="A316" s="100"/>
      <c r="B316" s="85"/>
      <c r="C316" s="100" t="s">
        <v>87</v>
      </c>
      <c r="D316" s="341">
        <v>0</v>
      </c>
      <c r="E316" s="341">
        <v>0</v>
      </c>
      <c r="F316" s="341">
        <v>0</v>
      </c>
      <c r="G316" s="341">
        <v>0</v>
      </c>
      <c r="H316" s="341">
        <v>0</v>
      </c>
      <c r="I316" s="341">
        <v>0</v>
      </c>
      <c r="J316" s="341">
        <v>0</v>
      </c>
      <c r="K316" s="341">
        <v>0</v>
      </c>
      <c r="L316" s="341">
        <v>0</v>
      </c>
      <c r="M316" s="341">
        <v>0</v>
      </c>
      <c r="N316" s="341">
        <v>0</v>
      </c>
      <c r="O316" s="82"/>
      <c r="P316" s="86"/>
    </row>
    <row r="317" spans="1:16">
      <c r="A317" s="100"/>
      <c r="B317" s="85"/>
      <c r="C317" s="100" t="s">
        <v>88</v>
      </c>
      <c r="D317" s="341">
        <v>0</v>
      </c>
      <c r="E317" s="341">
        <v>0</v>
      </c>
      <c r="F317" s="341">
        <v>0</v>
      </c>
      <c r="G317" s="341">
        <v>0</v>
      </c>
      <c r="H317" s="341">
        <v>0</v>
      </c>
      <c r="I317" s="341">
        <v>0</v>
      </c>
      <c r="J317" s="341">
        <v>0</v>
      </c>
      <c r="K317" s="341">
        <v>0</v>
      </c>
      <c r="L317" s="341">
        <v>0</v>
      </c>
      <c r="M317" s="341">
        <v>0</v>
      </c>
      <c r="N317" s="341">
        <v>0</v>
      </c>
      <c r="O317" s="82"/>
      <c r="P317" s="86"/>
    </row>
    <row r="318" spans="1:16">
      <c r="A318" s="100"/>
      <c r="B318" s="85"/>
      <c r="C318" s="100" t="s">
        <v>89</v>
      </c>
      <c r="D318" s="341">
        <v>0</v>
      </c>
      <c r="E318" s="341">
        <v>0</v>
      </c>
      <c r="F318" s="341">
        <v>0</v>
      </c>
      <c r="G318" s="341">
        <v>0</v>
      </c>
      <c r="H318" s="341">
        <v>0</v>
      </c>
      <c r="I318" s="341">
        <v>0</v>
      </c>
      <c r="J318" s="341">
        <v>0</v>
      </c>
      <c r="K318" s="341">
        <v>0</v>
      </c>
      <c r="L318" s="341">
        <v>0</v>
      </c>
      <c r="M318" s="341">
        <v>0</v>
      </c>
      <c r="N318" s="341">
        <v>0</v>
      </c>
      <c r="O318" s="82"/>
      <c r="P318" s="86"/>
    </row>
    <row r="319" spans="1:16">
      <c r="A319" s="100"/>
      <c r="B319" s="85"/>
      <c r="C319" s="100" t="s">
        <v>90</v>
      </c>
      <c r="D319" s="341">
        <v>0</v>
      </c>
      <c r="E319" s="341">
        <v>0</v>
      </c>
      <c r="F319" s="341">
        <v>0</v>
      </c>
      <c r="G319" s="341">
        <v>0</v>
      </c>
      <c r="H319" s="341">
        <v>0</v>
      </c>
      <c r="I319" s="341">
        <v>0</v>
      </c>
      <c r="J319" s="341">
        <v>0</v>
      </c>
      <c r="K319" s="341">
        <v>0</v>
      </c>
      <c r="L319" s="341">
        <v>0</v>
      </c>
      <c r="M319" s="341">
        <v>0</v>
      </c>
      <c r="N319" s="341">
        <v>0</v>
      </c>
      <c r="O319" s="82"/>
      <c r="P319" s="86"/>
    </row>
    <row r="320" spans="1:16">
      <c r="A320" s="100"/>
      <c r="B320" s="85"/>
      <c r="C320" s="100" t="s">
        <v>91</v>
      </c>
      <c r="D320" s="341">
        <v>0</v>
      </c>
      <c r="E320" s="341">
        <v>0</v>
      </c>
      <c r="F320" s="341">
        <v>0</v>
      </c>
      <c r="G320" s="341">
        <v>0</v>
      </c>
      <c r="H320" s="341">
        <v>0</v>
      </c>
      <c r="I320" s="341">
        <v>0</v>
      </c>
      <c r="J320" s="341">
        <v>0</v>
      </c>
      <c r="K320" s="341">
        <v>0</v>
      </c>
      <c r="L320" s="341">
        <v>0</v>
      </c>
      <c r="M320" s="341">
        <v>0</v>
      </c>
      <c r="N320" s="341">
        <v>0</v>
      </c>
      <c r="O320" s="82"/>
      <c r="P320" s="86"/>
    </row>
    <row r="321" spans="1:16">
      <c r="A321" s="100"/>
      <c r="B321" s="85"/>
      <c r="C321" s="100" t="s">
        <v>92</v>
      </c>
      <c r="D321" s="341">
        <v>0</v>
      </c>
      <c r="E321" s="341">
        <v>0</v>
      </c>
      <c r="F321" s="341">
        <v>0</v>
      </c>
      <c r="G321" s="341">
        <v>0</v>
      </c>
      <c r="H321" s="341">
        <v>0</v>
      </c>
      <c r="I321" s="341">
        <v>0</v>
      </c>
      <c r="J321" s="341">
        <v>0</v>
      </c>
      <c r="K321" s="341">
        <v>0</v>
      </c>
      <c r="L321" s="341">
        <v>0</v>
      </c>
      <c r="M321" s="341">
        <v>0</v>
      </c>
      <c r="N321" s="341">
        <v>0</v>
      </c>
      <c r="O321" s="82"/>
      <c r="P321" s="86"/>
    </row>
    <row r="322" spans="1:16">
      <c r="A322" s="100"/>
      <c r="B322" s="85"/>
      <c r="C322" s="100" t="s">
        <v>95</v>
      </c>
      <c r="D322" s="341">
        <v>0</v>
      </c>
      <c r="E322" s="341">
        <v>0</v>
      </c>
      <c r="F322" s="341">
        <v>0</v>
      </c>
      <c r="G322" s="341">
        <v>0</v>
      </c>
      <c r="H322" s="341">
        <v>0</v>
      </c>
      <c r="I322" s="341">
        <v>0</v>
      </c>
      <c r="J322" s="341">
        <v>0</v>
      </c>
      <c r="K322" s="341">
        <v>0</v>
      </c>
      <c r="L322" s="341">
        <v>0</v>
      </c>
      <c r="M322" s="341">
        <v>0</v>
      </c>
      <c r="N322" s="341">
        <v>0</v>
      </c>
      <c r="O322" s="82"/>
      <c r="P322" s="86"/>
    </row>
    <row r="323" spans="1:16">
      <c r="A323" s="100"/>
      <c r="B323" s="85"/>
      <c r="C323" s="100" t="s">
        <v>96</v>
      </c>
      <c r="D323" s="341">
        <v>0</v>
      </c>
      <c r="E323" s="341">
        <v>0</v>
      </c>
      <c r="F323" s="341">
        <v>0</v>
      </c>
      <c r="G323" s="341">
        <v>0</v>
      </c>
      <c r="H323" s="341">
        <v>0</v>
      </c>
      <c r="I323" s="341">
        <v>0</v>
      </c>
      <c r="J323" s="341">
        <v>0</v>
      </c>
      <c r="K323" s="341">
        <v>0</v>
      </c>
      <c r="L323" s="341">
        <v>0</v>
      </c>
      <c r="M323" s="341">
        <v>0</v>
      </c>
      <c r="N323" s="341">
        <v>0</v>
      </c>
      <c r="O323" s="82"/>
      <c r="P323" s="86"/>
    </row>
    <row r="324" spans="1:16">
      <c r="A324" s="100"/>
      <c r="B324" s="85"/>
      <c r="C324" s="100" t="s">
        <v>93</v>
      </c>
      <c r="D324" s="341">
        <v>0</v>
      </c>
      <c r="E324" s="341">
        <v>0</v>
      </c>
      <c r="F324" s="341">
        <v>0</v>
      </c>
      <c r="G324" s="341">
        <v>0</v>
      </c>
      <c r="H324" s="341">
        <v>0</v>
      </c>
      <c r="I324" s="341">
        <v>0</v>
      </c>
      <c r="J324" s="341">
        <v>0</v>
      </c>
      <c r="K324" s="341">
        <v>0</v>
      </c>
      <c r="L324" s="341">
        <v>0</v>
      </c>
      <c r="M324" s="341">
        <v>0</v>
      </c>
      <c r="N324" s="341">
        <v>0</v>
      </c>
      <c r="O324" s="82"/>
      <c r="P324" s="86"/>
    </row>
    <row r="325" spans="1:16">
      <c r="A325" s="100"/>
      <c r="B325" s="85"/>
      <c r="C325" s="100" t="s">
        <v>97</v>
      </c>
      <c r="D325" s="341">
        <v>0</v>
      </c>
      <c r="E325" s="341">
        <v>0</v>
      </c>
      <c r="F325" s="341">
        <v>0</v>
      </c>
      <c r="G325" s="341">
        <v>0</v>
      </c>
      <c r="H325" s="341">
        <v>0</v>
      </c>
      <c r="I325" s="341">
        <v>0</v>
      </c>
      <c r="J325" s="341">
        <v>0</v>
      </c>
      <c r="K325" s="341">
        <v>0</v>
      </c>
      <c r="L325" s="341">
        <v>0</v>
      </c>
      <c r="M325" s="341">
        <v>0</v>
      </c>
      <c r="N325" s="341">
        <v>0</v>
      </c>
      <c r="O325" s="82"/>
      <c r="P325" s="86"/>
    </row>
    <row r="326" spans="1:16">
      <c r="A326" s="100"/>
      <c r="B326" s="85"/>
      <c r="C326" s="4" t="s">
        <v>136</v>
      </c>
      <c r="D326" s="341">
        <v>0</v>
      </c>
      <c r="E326" s="341">
        <v>0</v>
      </c>
      <c r="F326" s="341">
        <v>0</v>
      </c>
      <c r="G326" s="341">
        <v>0</v>
      </c>
      <c r="H326" s="341">
        <v>0</v>
      </c>
      <c r="I326" s="341">
        <v>0</v>
      </c>
      <c r="J326" s="341">
        <v>0</v>
      </c>
      <c r="K326" s="341">
        <v>0</v>
      </c>
      <c r="L326" s="341">
        <v>0</v>
      </c>
      <c r="M326" s="341">
        <v>0</v>
      </c>
      <c r="N326" s="341">
        <v>0</v>
      </c>
      <c r="O326" s="82"/>
      <c r="P326" s="86"/>
    </row>
    <row r="327" spans="1:16">
      <c r="A327" s="100"/>
      <c r="B327" s="85" t="s">
        <v>159</v>
      </c>
      <c r="C327" s="100" t="s">
        <v>102</v>
      </c>
      <c r="D327" s="341">
        <v>0</v>
      </c>
      <c r="E327" s="341">
        <v>0</v>
      </c>
      <c r="F327" s="341">
        <v>0</v>
      </c>
      <c r="G327" s="341">
        <v>0</v>
      </c>
      <c r="H327" s="341">
        <v>0</v>
      </c>
      <c r="I327" s="341">
        <v>0</v>
      </c>
      <c r="J327" s="341">
        <v>0</v>
      </c>
      <c r="K327" s="341">
        <v>0</v>
      </c>
      <c r="L327" s="341">
        <v>0</v>
      </c>
      <c r="M327" s="341">
        <v>0</v>
      </c>
      <c r="N327" s="341">
        <v>0</v>
      </c>
      <c r="O327" s="82"/>
      <c r="P327" s="86"/>
    </row>
    <row r="328" spans="1:16">
      <c r="A328" s="100"/>
      <c r="B328" s="85"/>
      <c r="C328" s="100" t="s">
        <v>98</v>
      </c>
      <c r="D328" s="341">
        <v>0</v>
      </c>
      <c r="E328" s="341">
        <v>0</v>
      </c>
      <c r="F328" s="341">
        <v>0</v>
      </c>
      <c r="G328" s="341">
        <v>0</v>
      </c>
      <c r="H328" s="341">
        <v>0</v>
      </c>
      <c r="I328" s="341">
        <v>0</v>
      </c>
      <c r="J328" s="341">
        <v>0</v>
      </c>
      <c r="K328" s="341">
        <v>0</v>
      </c>
      <c r="L328" s="341">
        <v>0</v>
      </c>
      <c r="M328" s="341">
        <v>0</v>
      </c>
      <c r="N328" s="341">
        <v>0</v>
      </c>
      <c r="O328" s="82"/>
      <c r="P328" s="86"/>
    </row>
    <row r="329" spans="1:16">
      <c r="A329" s="100"/>
      <c r="B329" s="85"/>
      <c r="C329" s="100" t="s">
        <v>99</v>
      </c>
      <c r="D329" s="341">
        <v>0</v>
      </c>
      <c r="E329" s="341">
        <v>0</v>
      </c>
      <c r="F329" s="341">
        <v>0</v>
      </c>
      <c r="G329" s="341">
        <v>0</v>
      </c>
      <c r="H329" s="341">
        <v>0</v>
      </c>
      <c r="I329" s="341">
        <v>0</v>
      </c>
      <c r="J329" s="341">
        <v>0</v>
      </c>
      <c r="K329" s="341">
        <v>0</v>
      </c>
      <c r="L329" s="341">
        <v>0</v>
      </c>
      <c r="M329" s="341">
        <v>0</v>
      </c>
      <c r="N329" s="341">
        <v>0</v>
      </c>
      <c r="O329" s="82"/>
      <c r="P329" s="86"/>
    </row>
    <row r="330" spans="1:16">
      <c r="A330" s="100"/>
      <c r="B330" s="85"/>
      <c r="C330" s="100" t="s">
        <v>83</v>
      </c>
      <c r="D330" s="341">
        <v>0</v>
      </c>
      <c r="E330" s="341">
        <v>0</v>
      </c>
      <c r="F330" s="341">
        <v>0</v>
      </c>
      <c r="G330" s="341">
        <v>0</v>
      </c>
      <c r="H330" s="341">
        <v>0</v>
      </c>
      <c r="I330" s="341">
        <v>0</v>
      </c>
      <c r="J330" s="341">
        <v>0</v>
      </c>
      <c r="K330" s="341">
        <v>0</v>
      </c>
      <c r="L330" s="341">
        <v>0</v>
      </c>
      <c r="M330" s="341">
        <v>0</v>
      </c>
      <c r="N330" s="341">
        <v>0</v>
      </c>
      <c r="O330" s="82"/>
      <c r="P330" s="86"/>
    </row>
    <row r="331" spans="1:16">
      <c r="A331" s="100"/>
      <c r="B331" s="85"/>
      <c r="C331" s="100" t="s">
        <v>84</v>
      </c>
      <c r="D331" s="341">
        <v>0</v>
      </c>
      <c r="E331" s="341">
        <v>0</v>
      </c>
      <c r="F331" s="341">
        <v>0</v>
      </c>
      <c r="G331" s="341">
        <v>0</v>
      </c>
      <c r="H331" s="341">
        <v>0</v>
      </c>
      <c r="I331" s="341">
        <v>0</v>
      </c>
      <c r="J331" s="341">
        <v>0</v>
      </c>
      <c r="K331" s="341">
        <v>0</v>
      </c>
      <c r="L331" s="341">
        <v>0</v>
      </c>
      <c r="M331" s="341">
        <v>0</v>
      </c>
      <c r="N331" s="341">
        <v>0</v>
      </c>
      <c r="O331" s="82"/>
      <c r="P331" s="86"/>
    </row>
    <row r="332" spans="1:16">
      <c r="A332" s="100"/>
      <c r="B332" s="85"/>
      <c r="C332" s="100" t="s">
        <v>85</v>
      </c>
      <c r="D332" s="341">
        <v>0</v>
      </c>
      <c r="E332" s="341">
        <v>0</v>
      </c>
      <c r="F332" s="341">
        <v>0</v>
      </c>
      <c r="G332" s="341">
        <v>0</v>
      </c>
      <c r="H332" s="341">
        <v>0</v>
      </c>
      <c r="I332" s="341">
        <v>0</v>
      </c>
      <c r="J332" s="341">
        <v>0</v>
      </c>
      <c r="K332" s="341">
        <v>0</v>
      </c>
      <c r="L332" s="341">
        <v>0</v>
      </c>
      <c r="M332" s="341">
        <v>0</v>
      </c>
      <c r="N332" s="341">
        <v>0</v>
      </c>
      <c r="O332" s="82"/>
      <c r="P332" s="86"/>
    </row>
    <row r="333" spans="1:16">
      <c r="A333" s="100"/>
      <c r="B333" s="85"/>
      <c r="C333" s="100" t="s">
        <v>86</v>
      </c>
      <c r="D333" s="341">
        <v>0</v>
      </c>
      <c r="E333" s="341">
        <v>0</v>
      </c>
      <c r="F333" s="341">
        <v>0</v>
      </c>
      <c r="G333" s="341">
        <v>0</v>
      </c>
      <c r="H333" s="341">
        <v>0</v>
      </c>
      <c r="I333" s="341">
        <v>0</v>
      </c>
      <c r="J333" s="341">
        <v>0</v>
      </c>
      <c r="K333" s="341">
        <v>0</v>
      </c>
      <c r="L333" s="341">
        <v>0</v>
      </c>
      <c r="M333" s="341">
        <v>0</v>
      </c>
      <c r="N333" s="341">
        <v>0</v>
      </c>
      <c r="O333" s="82"/>
      <c r="P333" s="86"/>
    </row>
    <row r="334" spans="1:16">
      <c r="A334" s="100"/>
      <c r="B334" s="85"/>
      <c r="C334" s="100" t="s">
        <v>87</v>
      </c>
      <c r="D334" s="341">
        <v>0</v>
      </c>
      <c r="E334" s="341">
        <v>0</v>
      </c>
      <c r="F334" s="341">
        <v>0</v>
      </c>
      <c r="G334" s="341">
        <v>0</v>
      </c>
      <c r="H334" s="341">
        <v>0</v>
      </c>
      <c r="I334" s="341">
        <v>0</v>
      </c>
      <c r="J334" s="341">
        <v>0</v>
      </c>
      <c r="K334" s="341">
        <v>0</v>
      </c>
      <c r="L334" s="341">
        <v>0</v>
      </c>
      <c r="M334" s="341">
        <v>0</v>
      </c>
      <c r="N334" s="341">
        <v>0</v>
      </c>
      <c r="O334" s="82"/>
      <c r="P334" s="86"/>
    </row>
    <row r="335" spans="1:16">
      <c r="A335" s="100"/>
      <c r="B335" s="85"/>
      <c r="C335" s="100" t="s">
        <v>88</v>
      </c>
      <c r="D335" s="341">
        <v>0</v>
      </c>
      <c r="E335" s="341">
        <v>0</v>
      </c>
      <c r="F335" s="341">
        <v>0</v>
      </c>
      <c r="G335" s="341">
        <v>0</v>
      </c>
      <c r="H335" s="341">
        <v>0</v>
      </c>
      <c r="I335" s="341">
        <v>0</v>
      </c>
      <c r="J335" s="341">
        <v>0</v>
      </c>
      <c r="K335" s="341">
        <v>0</v>
      </c>
      <c r="L335" s="341">
        <v>0</v>
      </c>
      <c r="M335" s="341">
        <v>0</v>
      </c>
      <c r="N335" s="341">
        <v>0</v>
      </c>
      <c r="O335" s="82"/>
      <c r="P335" s="86"/>
    </row>
    <row r="336" spans="1:16">
      <c r="A336" s="100"/>
      <c r="B336" s="85"/>
      <c r="C336" s="100" t="s">
        <v>89</v>
      </c>
      <c r="D336" s="341">
        <v>0</v>
      </c>
      <c r="E336" s="341">
        <v>0</v>
      </c>
      <c r="F336" s="341">
        <v>0</v>
      </c>
      <c r="G336" s="341">
        <v>0</v>
      </c>
      <c r="H336" s="341">
        <v>0</v>
      </c>
      <c r="I336" s="341">
        <v>0</v>
      </c>
      <c r="J336" s="341">
        <v>0</v>
      </c>
      <c r="K336" s="341">
        <v>0</v>
      </c>
      <c r="L336" s="341">
        <v>0</v>
      </c>
      <c r="M336" s="341">
        <v>0</v>
      </c>
      <c r="N336" s="341">
        <v>0</v>
      </c>
      <c r="O336" s="82"/>
      <c r="P336" s="86"/>
    </row>
    <row r="337" spans="1:16">
      <c r="A337" s="100"/>
      <c r="B337" s="85"/>
      <c r="C337" s="100" t="s">
        <v>90</v>
      </c>
      <c r="D337" s="341">
        <v>1</v>
      </c>
      <c r="E337" s="341">
        <v>0</v>
      </c>
      <c r="F337" s="341">
        <v>0</v>
      </c>
      <c r="G337" s="341">
        <v>0</v>
      </c>
      <c r="H337" s="341">
        <v>0</v>
      </c>
      <c r="I337" s="341">
        <v>0</v>
      </c>
      <c r="J337" s="341">
        <v>0</v>
      </c>
      <c r="K337" s="341">
        <v>0</v>
      </c>
      <c r="L337" s="341">
        <v>0</v>
      </c>
      <c r="M337" s="341">
        <v>0</v>
      </c>
      <c r="N337" s="341">
        <v>0</v>
      </c>
      <c r="O337" s="82"/>
      <c r="P337" s="86"/>
    </row>
    <row r="338" spans="1:16">
      <c r="A338" s="100"/>
      <c r="B338" s="85"/>
      <c r="C338" s="100" t="s">
        <v>91</v>
      </c>
      <c r="D338" s="341">
        <v>0</v>
      </c>
      <c r="E338" s="341">
        <v>0</v>
      </c>
      <c r="F338" s="341">
        <v>0</v>
      </c>
      <c r="G338" s="341">
        <v>0</v>
      </c>
      <c r="H338" s="341">
        <v>0</v>
      </c>
      <c r="I338" s="341">
        <v>0</v>
      </c>
      <c r="J338" s="341">
        <v>0</v>
      </c>
      <c r="K338" s="341">
        <v>0</v>
      </c>
      <c r="L338" s="341">
        <v>0</v>
      </c>
      <c r="M338" s="341">
        <v>0</v>
      </c>
      <c r="N338" s="341">
        <v>0</v>
      </c>
      <c r="O338" s="82"/>
      <c r="P338" s="86"/>
    </row>
    <row r="339" spans="1:16">
      <c r="A339" s="100"/>
      <c r="B339" s="85"/>
      <c r="C339" s="100" t="s">
        <v>92</v>
      </c>
      <c r="D339" s="341">
        <v>0</v>
      </c>
      <c r="E339" s="341">
        <v>0</v>
      </c>
      <c r="F339" s="341">
        <v>0</v>
      </c>
      <c r="G339" s="341">
        <v>0</v>
      </c>
      <c r="H339" s="341">
        <v>0</v>
      </c>
      <c r="I339" s="341">
        <v>0</v>
      </c>
      <c r="J339" s="341">
        <v>0</v>
      </c>
      <c r="K339" s="341">
        <v>0</v>
      </c>
      <c r="L339" s="341">
        <v>0</v>
      </c>
      <c r="M339" s="341">
        <v>0</v>
      </c>
      <c r="N339" s="341">
        <v>0</v>
      </c>
      <c r="O339" s="82"/>
      <c r="P339" s="86"/>
    </row>
    <row r="340" spans="1:16">
      <c r="A340" s="100"/>
      <c r="B340" s="85"/>
      <c r="C340" s="100" t="s">
        <v>95</v>
      </c>
      <c r="D340" s="341">
        <v>0</v>
      </c>
      <c r="E340" s="341">
        <v>0</v>
      </c>
      <c r="F340" s="341">
        <v>1</v>
      </c>
      <c r="G340" s="341">
        <v>0</v>
      </c>
      <c r="H340" s="341">
        <v>0</v>
      </c>
      <c r="I340" s="341">
        <v>0</v>
      </c>
      <c r="J340" s="341">
        <v>0</v>
      </c>
      <c r="K340" s="341">
        <v>0</v>
      </c>
      <c r="L340" s="341">
        <v>0</v>
      </c>
      <c r="M340" s="341">
        <v>0</v>
      </c>
      <c r="N340" s="341">
        <v>0</v>
      </c>
      <c r="O340" s="82"/>
      <c r="P340" s="86"/>
    </row>
    <row r="341" spans="1:16">
      <c r="A341" s="100"/>
      <c r="B341" s="85"/>
      <c r="C341" s="100" t="s">
        <v>96</v>
      </c>
      <c r="D341" s="341">
        <v>0</v>
      </c>
      <c r="E341" s="341">
        <v>0</v>
      </c>
      <c r="F341" s="341">
        <v>0</v>
      </c>
      <c r="G341" s="341">
        <v>0</v>
      </c>
      <c r="H341" s="341">
        <v>0</v>
      </c>
      <c r="I341" s="341">
        <v>0</v>
      </c>
      <c r="J341" s="341">
        <v>0</v>
      </c>
      <c r="K341" s="341">
        <v>0</v>
      </c>
      <c r="L341" s="341">
        <v>0</v>
      </c>
      <c r="M341" s="341">
        <v>0</v>
      </c>
      <c r="N341" s="341">
        <v>0</v>
      </c>
      <c r="O341" s="82"/>
      <c r="P341" s="86"/>
    </row>
    <row r="342" spans="1:16">
      <c r="A342" s="100"/>
      <c r="B342" s="85"/>
      <c r="C342" s="100" t="s">
        <v>93</v>
      </c>
      <c r="D342" s="341">
        <v>0</v>
      </c>
      <c r="E342" s="341">
        <v>0</v>
      </c>
      <c r="F342" s="341">
        <v>0</v>
      </c>
      <c r="G342" s="341">
        <v>0</v>
      </c>
      <c r="H342" s="341">
        <v>0</v>
      </c>
      <c r="I342" s="341">
        <v>0</v>
      </c>
      <c r="J342" s="341">
        <v>0</v>
      </c>
      <c r="K342" s="341">
        <v>0</v>
      </c>
      <c r="L342" s="341">
        <v>0</v>
      </c>
      <c r="M342" s="341">
        <v>0</v>
      </c>
      <c r="N342" s="341">
        <v>0</v>
      </c>
      <c r="O342" s="82"/>
      <c r="P342" s="86"/>
    </row>
    <row r="343" spans="1:16">
      <c r="A343" s="100"/>
      <c r="B343" s="85"/>
      <c r="C343" s="100" t="s">
        <v>97</v>
      </c>
      <c r="D343" s="341">
        <v>0</v>
      </c>
      <c r="E343" s="341">
        <v>0</v>
      </c>
      <c r="F343" s="341">
        <v>0</v>
      </c>
      <c r="G343" s="341">
        <v>0</v>
      </c>
      <c r="H343" s="341">
        <v>0</v>
      </c>
      <c r="I343" s="341">
        <v>0</v>
      </c>
      <c r="J343" s="341">
        <v>0</v>
      </c>
      <c r="K343" s="341">
        <v>0</v>
      </c>
      <c r="L343" s="341">
        <v>0</v>
      </c>
      <c r="M343" s="341">
        <v>0</v>
      </c>
      <c r="N343" s="341">
        <v>0</v>
      </c>
      <c r="O343" s="82"/>
      <c r="P343" s="86"/>
    </row>
    <row r="344" spans="1:16">
      <c r="A344" s="100"/>
      <c r="B344" s="85"/>
      <c r="C344" s="4" t="s">
        <v>136</v>
      </c>
      <c r="D344" s="341">
        <v>0</v>
      </c>
      <c r="E344" s="341">
        <v>0</v>
      </c>
      <c r="F344" s="341">
        <v>0</v>
      </c>
      <c r="G344" s="341">
        <v>0</v>
      </c>
      <c r="H344" s="341">
        <v>0</v>
      </c>
      <c r="I344" s="341">
        <v>0</v>
      </c>
      <c r="J344" s="341">
        <v>0</v>
      </c>
      <c r="K344" s="341">
        <v>0</v>
      </c>
      <c r="L344" s="341">
        <v>0</v>
      </c>
      <c r="M344" s="341">
        <v>0</v>
      </c>
      <c r="N344" s="341">
        <v>0</v>
      </c>
      <c r="O344" s="82"/>
      <c r="P344" s="86"/>
    </row>
    <row r="345" spans="1:16">
      <c r="A345" s="100"/>
      <c r="B345" s="85" t="s">
        <v>160</v>
      </c>
      <c r="C345" s="100" t="s">
        <v>102</v>
      </c>
      <c r="D345" s="341">
        <v>0</v>
      </c>
      <c r="E345" s="341">
        <v>0</v>
      </c>
      <c r="F345" s="341">
        <v>0</v>
      </c>
      <c r="G345" s="341">
        <v>0</v>
      </c>
      <c r="H345" s="341">
        <v>0</v>
      </c>
      <c r="I345" s="341">
        <v>0</v>
      </c>
      <c r="J345" s="341">
        <v>0</v>
      </c>
      <c r="K345" s="341">
        <v>0</v>
      </c>
      <c r="L345" s="341">
        <v>0</v>
      </c>
      <c r="M345" s="341">
        <v>0</v>
      </c>
      <c r="N345" s="341">
        <v>0</v>
      </c>
      <c r="O345" s="82"/>
      <c r="P345" s="86"/>
    </row>
    <row r="346" spans="1:16">
      <c r="A346" s="100"/>
      <c r="B346" s="85"/>
      <c r="C346" s="100" t="s">
        <v>98</v>
      </c>
      <c r="D346" s="341">
        <v>0</v>
      </c>
      <c r="E346" s="341">
        <v>0</v>
      </c>
      <c r="F346" s="341">
        <v>0</v>
      </c>
      <c r="G346" s="341">
        <v>0</v>
      </c>
      <c r="H346" s="341">
        <v>0</v>
      </c>
      <c r="I346" s="341">
        <v>0</v>
      </c>
      <c r="J346" s="341">
        <v>0</v>
      </c>
      <c r="K346" s="341">
        <v>0</v>
      </c>
      <c r="L346" s="341">
        <v>0</v>
      </c>
      <c r="M346" s="341">
        <v>0</v>
      </c>
      <c r="N346" s="341">
        <v>0</v>
      </c>
      <c r="O346" s="82"/>
      <c r="P346" s="86"/>
    </row>
    <row r="347" spans="1:16">
      <c r="A347" s="100"/>
      <c r="B347" s="85"/>
      <c r="C347" s="100" t="s">
        <v>99</v>
      </c>
      <c r="D347" s="341">
        <v>0</v>
      </c>
      <c r="E347" s="341">
        <v>0</v>
      </c>
      <c r="F347" s="341">
        <v>0</v>
      </c>
      <c r="G347" s="341">
        <v>0</v>
      </c>
      <c r="H347" s="341">
        <v>0</v>
      </c>
      <c r="I347" s="341">
        <v>0</v>
      </c>
      <c r="J347" s="341">
        <v>0</v>
      </c>
      <c r="K347" s="341">
        <v>0</v>
      </c>
      <c r="L347" s="341">
        <v>0</v>
      </c>
      <c r="M347" s="341">
        <v>0</v>
      </c>
      <c r="N347" s="341">
        <v>0</v>
      </c>
      <c r="O347" s="82"/>
      <c r="P347" s="86"/>
    </row>
    <row r="348" spans="1:16">
      <c r="A348" s="100"/>
      <c r="B348" s="85"/>
      <c r="C348" s="100" t="s">
        <v>83</v>
      </c>
      <c r="D348" s="341">
        <v>0</v>
      </c>
      <c r="E348" s="341">
        <v>0</v>
      </c>
      <c r="F348" s="341">
        <v>0</v>
      </c>
      <c r="G348" s="341">
        <v>0</v>
      </c>
      <c r="H348" s="341">
        <v>0</v>
      </c>
      <c r="I348" s="341">
        <v>0</v>
      </c>
      <c r="J348" s="341">
        <v>0</v>
      </c>
      <c r="K348" s="341">
        <v>0</v>
      </c>
      <c r="L348" s="341">
        <v>0</v>
      </c>
      <c r="M348" s="341">
        <v>0</v>
      </c>
      <c r="N348" s="341">
        <v>0</v>
      </c>
      <c r="O348" s="82"/>
      <c r="P348" s="86"/>
    </row>
    <row r="349" spans="1:16">
      <c r="A349" s="100"/>
      <c r="B349" s="85"/>
      <c r="C349" s="100" t="s">
        <v>84</v>
      </c>
      <c r="D349" s="341">
        <v>0</v>
      </c>
      <c r="E349" s="341">
        <v>0</v>
      </c>
      <c r="F349" s="341">
        <v>0</v>
      </c>
      <c r="G349" s="341">
        <v>0</v>
      </c>
      <c r="H349" s="341">
        <v>0</v>
      </c>
      <c r="I349" s="341">
        <v>0</v>
      </c>
      <c r="J349" s="341">
        <v>0</v>
      </c>
      <c r="K349" s="341">
        <v>0</v>
      </c>
      <c r="L349" s="341">
        <v>0</v>
      </c>
      <c r="M349" s="341">
        <v>0</v>
      </c>
      <c r="N349" s="341">
        <v>0</v>
      </c>
      <c r="O349" s="82"/>
      <c r="P349" s="86"/>
    </row>
    <row r="350" spans="1:16">
      <c r="A350" s="100"/>
      <c r="B350" s="85"/>
      <c r="C350" s="100" t="s">
        <v>85</v>
      </c>
      <c r="D350" s="341">
        <v>0</v>
      </c>
      <c r="E350" s="341">
        <v>0</v>
      </c>
      <c r="F350" s="341">
        <v>0</v>
      </c>
      <c r="G350" s="341">
        <v>0</v>
      </c>
      <c r="H350" s="341">
        <v>0</v>
      </c>
      <c r="I350" s="341">
        <v>0</v>
      </c>
      <c r="J350" s="341">
        <v>0</v>
      </c>
      <c r="K350" s="341">
        <v>0</v>
      </c>
      <c r="L350" s="341">
        <v>0</v>
      </c>
      <c r="M350" s="341">
        <v>0</v>
      </c>
      <c r="N350" s="341">
        <v>0</v>
      </c>
      <c r="O350" s="82"/>
      <c r="P350" s="86"/>
    </row>
    <row r="351" spans="1:16">
      <c r="A351" s="100"/>
      <c r="B351" s="85"/>
      <c r="C351" s="100" t="s">
        <v>86</v>
      </c>
      <c r="D351" s="341">
        <v>0</v>
      </c>
      <c r="E351" s="341">
        <v>0</v>
      </c>
      <c r="F351" s="341">
        <v>0</v>
      </c>
      <c r="G351" s="341">
        <v>0</v>
      </c>
      <c r="H351" s="341">
        <v>0</v>
      </c>
      <c r="I351" s="341">
        <v>0</v>
      </c>
      <c r="J351" s="341">
        <v>0</v>
      </c>
      <c r="K351" s="341">
        <v>0</v>
      </c>
      <c r="L351" s="341">
        <v>0</v>
      </c>
      <c r="M351" s="341">
        <v>0</v>
      </c>
      <c r="N351" s="341">
        <v>0</v>
      </c>
      <c r="O351" s="82"/>
      <c r="P351" s="86"/>
    </row>
    <row r="352" spans="1:16">
      <c r="A352" s="100"/>
      <c r="B352" s="85"/>
      <c r="C352" s="100" t="s">
        <v>87</v>
      </c>
      <c r="D352" s="341">
        <v>0</v>
      </c>
      <c r="E352" s="341">
        <v>0</v>
      </c>
      <c r="F352" s="341">
        <v>0</v>
      </c>
      <c r="G352" s="341">
        <v>0</v>
      </c>
      <c r="H352" s="341">
        <v>0</v>
      </c>
      <c r="I352" s="341">
        <v>0</v>
      </c>
      <c r="J352" s="341">
        <v>0</v>
      </c>
      <c r="K352" s="341">
        <v>0</v>
      </c>
      <c r="L352" s="341">
        <v>0</v>
      </c>
      <c r="M352" s="341">
        <v>0</v>
      </c>
      <c r="N352" s="341">
        <v>0</v>
      </c>
      <c r="O352" s="82"/>
      <c r="P352" s="86"/>
    </row>
    <row r="353" spans="1:16">
      <c r="A353" s="100"/>
      <c r="B353" s="85"/>
      <c r="C353" s="100" t="s">
        <v>88</v>
      </c>
      <c r="D353" s="341">
        <v>0</v>
      </c>
      <c r="E353" s="341">
        <v>0</v>
      </c>
      <c r="F353" s="341">
        <v>0</v>
      </c>
      <c r="G353" s="341">
        <v>0</v>
      </c>
      <c r="H353" s="341">
        <v>0</v>
      </c>
      <c r="I353" s="341">
        <v>0</v>
      </c>
      <c r="J353" s="341">
        <v>0</v>
      </c>
      <c r="K353" s="341">
        <v>0</v>
      </c>
      <c r="L353" s="341">
        <v>0</v>
      </c>
      <c r="M353" s="341">
        <v>0</v>
      </c>
      <c r="N353" s="341">
        <v>0</v>
      </c>
      <c r="O353" s="82"/>
      <c r="P353" s="86"/>
    </row>
    <row r="354" spans="1:16">
      <c r="A354" s="100"/>
      <c r="B354" s="85"/>
      <c r="C354" s="100" t="s">
        <v>89</v>
      </c>
      <c r="D354" s="341">
        <v>0</v>
      </c>
      <c r="E354" s="341">
        <v>0</v>
      </c>
      <c r="F354" s="341">
        <v>0</v>
      </c>
      <c r="G354" s="341">
        <v>0</v>
      </c>
      <c r="H354" s="341">
        <v>0</v>
      </c>
      <c r="I354" s="341">
        <v>0</v>
      </c>
      <c r="J354" s="341">
        <v>0</v>
      </c>
      <c r="K354" s="341">
        <v>0</v>
      </c>
      <c r="L354" s="341">
        <v>0</v>
      </c>
      <c r="M354" s="341">
        <v>0</v>
      </c>
      <c r="N354" s="341">
        <v>0</v>
      </c>
      <c r="O354" s="82"/>
      <c r="P354" s="86"/>
    </row>
    <row r="355" spans="1:16">
      <c r="A355" s="100"/>
      <c r="B355" s="85"/>
      <c r="C355" s="100" t="s">
        <v>90</v>
      </c>
      <c r="D355" s="341">
        <v>0</v>
      </c>
      <c r="E355" s="341">
        <v>0</v>
      </c>
      <c r="F355" s="341">
        <v>0</v>
      </c>
      <c r="G355" s="341">
        <v>0</v>
      </c>
      <c r="H355" s="341">
        <v>0</v>
      </c>
      <c r="I355" s="341">
        <v>0</v>
      </c>
      <c r="J355" s="341">
        <v>0</v>
      </c>
      <c r="K355" s="341">
        <v>0</v>
      </c>
      <c r="L355" s="341">
        <v>0</v>
      </c>
      <c r="M355" s="341">
        <v>0</v>
      </c>
      <c r="N355" s="341">
        <v>0</v>
      </c>
      <c r="O355" s="82"/>
      <c r="P355" s="86"/>
    </row>
    <row r="356" spans="1:16">
      <c r="A356" s="100"/>
      <c r="B356" s="85"/>
      <c r="C356" s="100" t="s">
        <v>91</v>
      </c>
      <c r="D356" s="341">
        <v>0</v>
      </c>
      <c r="E356" s="341">
        <v>0</v>
      </c>
      <c r="F356" s="341">
        <v>0</v>
      </c>
      <c r="G356" s="341">
        <v>0</v>
      </c>
      <c r="H356" s="341">
        <v>0</v>
      </c>
      <c r="I356" s="341">
        <v>0</v>
      </c>
      <c r="J356" s="341">
        <v>0</v>
      </c>
      <c r="K356" s="341">
        <v>0</v>
      </c>
      <c r="L356" s="341">
        <v>0</v>
      </c>
      <c r="M356" s="341">
        <v>0</v>
      </c>
      <c r="N356" s="341">
        <v>0</v>
      </c>
      <c r="O356" s="82"/>
      <c r="P356" s="86"/>
    </row>
    <row r="357" spans="1:16">
      <c r="A357" s="100"/>
      <c r="B357" s="85"/>
      <c r="C357" s="100" t="s">
        <v>92</v>
      </c>
      <c r="D357" s="341">
        <v>0</v>
      </c>
      <c r="E357" s="341">
        <v>0</v>
      </c>
      <c r="F357" s="341">
        <v>0</v>
      </c>
      <c r="G357" s="341">
        <v>0</v>
      </c>
      <c r="H357" s="341">
        <v>0</v>
      </c>
      <c r="I357" s="341">
        <v>0</v>
      </c>
      <c r="J357" s="341">
        <v>0</v>
      </c>
      <c r="K357" s="341">
        <v>0</v>
      </c>
      <c r="L357" s="341">
        <v>0</v>
      </c>
      <c r="M357" s="341">
        <v>0</v>
      </c>
      <c r="N357" s="341">
        <v>0</v>
      </c>
      <c r="O357" s="82"/>
      <c r="P357" s="86"/>
    </row>
    <row r="358" spans="1:16">
      <c r="A358" s="100"/>
      <c r="B358" s="85"/>
      <c r="C358" s="100" t="s">
        <v>95</v>
      </c>
      <c r="D358" s="341">
        <v>0</v>
      </c>
      <c r="E358" s="341">
        <v>0</v>
      </c>
      <c r="F358" s="341">
        <v>0</v>
      </c>
      <c r="G358" s="341">
        <v>0</v>
      </c>
      <c r="H358" s="341">
        <v>0</v>
      </c>
      <c r="I358" s="341">
        <v>0</v>
      </c>
      <c r="J358" s="341">
        <v>0</v>
      </c>
      <c r="K358" s="341">
        <v>0</v>
      </c>
      <c r="L358" s="341">
        <v>0</v>
      </c>
      <c r="M358" s="341">
        <v>0</v>
      </c>
      <c r="N358" s="341">
        <v>0</v>
      </c>
      <c r="O358" s="82"/>
      <c r="P358" s="86"/>
    </row>
    <row r="359" spans="1:16">
      <c r="A359" s="100"/>
      <c r="B359" s="85"/>
      <c r="C359" s="100" t="s">
        <v>96</v>
      </c>
      <c r="D359" s="341">
        <v>0</v>
      </c>
      <c r="E359" s="341">
        <v>0</v>
      </c>
      <c r="F359" s="341">
        <v>0</v>
      </c>
      <c r="G359" s="341">
        <v>0</v>
      </c>
      <c r="H359" s="341">
        <v>0</v>
      </c>
      <c r="I359" s="341">
        <v>0</v>
      </c>
      <c r="J359" s="341">
        <v>0</v>
      </c>
      <c r="K359" s="341">
        <v>0</v>
      </c>
      <c r="L359" s="341">
        <v>0</v>
      </c>
      <c r="M359" s="341">
        <v>0</v>
      </c>
      <c r="N359" s="341">
        <v>0</v>
      </c>
      <c r="O359" s="82"/>
      <c r="P359" s="86"/>
    </row>
    <row r="360" spans="1:16">
      <c r="A360" s="100"/>
      <c r="B360" s="85"/>
      <c r="C360" s="100" t="s">
        <v>93</v>
      </c>
      <c r="D360" s="341">
        <v>0</v>
      </c>
      <c r="E360" s="341">
        <v>0</v>
      </c>
      <c r="F360" s="341">
        <v>0</v>
      </c>
      <c r="G360" s="341">
        <v>0</v>
      </c>
      <c r="H360" s="341">
        <v>0</v>
      </c>
      <c r="I360" s="341">
        <v>0</v>
      </c>
      <c r="J360" s="341">
        <v>0</v>
      </c>
      <c r="K360" s="341">
        <v>0</v>
      </c>
      <c r="L360" s="341">
        <v>0</v>
      </c>
      <c r="M360" s="341">
        <v>0</v>
      </c>
      <c r="N360" s="341">
        <v>0</v>
      </c>
      <c r="O360" s="82"/>
      <c r="P360" s="86"/>
    </row>
    <row r="361" spans="1:16">
      <c r="A361" s="100"/>
      <c r="B361" s="85"/>
      <c r="C361" s="100" t="s">
        <v>97</v>
      </c>
      <c r="D361" s="341">
        <v>0</v>
      </c>
      <c r="E361" s="341">
        <v>0</v>
      </c>
      <c r="F361" s="341">
        <v>0</v>
      </c>
      <c r="G361" s="341">
        <v>0</v>
      </c>
      <c r="H361" s="341">
        <v>0</v>
      </c>
      <c r="I361" s="341">
        <v>0</v>
      </c>
      <c r="J361" s="341">
        <v>0</v>
      </c>
      <c r="K361" s="341">
        <v>0</v>
      </c>
      <c r="L361" s="341">
        <v>0</v>
      </c>
      <c r="M361" s="341">
        <v>0</v>
      </c>
      <c r="N361" s="341">
        <v>0</v>
      </c>
      <c r="O361" s="82"/>
      <c r="P361" s="86"/>
    </row>
    <row r="362" spans="1:16">
      <c r="A362" s="100"/>
      <c r="B362" s="85"/>
      <c r="C362" s="4" t="s">
        <v>136</v>
      </c>
      <c r="D362" s="341">
        <v>0</v>
      </c>
      <c r="E362" s="341">
        <v>0</v>
      </c>
      <c r="F362" s="341">
        <v>0</v>
      </c>
      <c r="G362" s="341">
        <v>0</v>
      </c>
      <c r="H362" s="341">
        <v>0</v>
      </c>
      <c r="I362" s="341">
        <v>0</v>
      </c>
      <c r="J362" s="341">
        <v>0</v>
      </c>
      <c r="K362" s="341">
        <v>0</v>
      </c>
      <c r="L362" s="341">
        <v>0</v>
      </c>
      <c r="M362" s="341">
        <v>0</v>
      </c>
      <c r="N362" s="341">
        <v>0</v>
      </c>
      <c r="O362" s="82"/>
      <c r="P362" s="86"/>
    </row>
    <row r="363" spans="1:16">
      <c r="A363" s="100"/>
      <c r="B363" s="85" t="s">
        <v>161</v>
      </c>
      <c r="C363" s="100" t="s">
        <v>102</v>
      </c>
      <c r="D363" s="341">
        <v>0</v>
      </c>
      <c r="E363" s="341">
        <v>0</v>
      </c>
      <c r="F363" s="341">
        <v>0</v>
      </c>
      <c r="G363" s="341">
        <v>0</v>
      </c>
      <c r="H363" s="341">
        <v>0</v>
      </c>
      <c r="I363" s="341">
        <v>0</v>
      </c>
      <c r="J363" s="341">
        <v>0</v>
      </c>
      <c r="K363" s="341">
        <v>0</v>
      </c>
      <c r="L363" s="341">
        <v>0</v>
      </c>
      <c r="M363" s="341">
        <v>0</v>
      </c>
      <c r="N363" s="341">
        <v>0</v>
      </c>
      <c r="O363" s="82"/>
      <c r="P363" s="86"/>
    </row>
    <row r="364" spans="1:16">
      <c r="A364" s="100"/>
      <c r="B364" s="85"/>
      <c r="C364" s="100" t="s">
        <v>98</v>
      </c>
      <c r="D364" s="341">
        <v>0</v>
      </c>
      <c r="E364" s="341">
        <v>0</v>
      </c>
      <c r="F364" s="341">
        <v>0</v>
      </c>
      <c r="G364" s="341">
        <v>0</v>
      </c>
      <c r="H364" s="341">
        <v>0</v>
      </c>
      <c r="I364" s="341">
        <v>0</v>
      </c>
      <c r="J364" s="341">
        <v>0</v>
      </c>
      <c r="K364" s="341">
        <v>0</v>
      </c>
      <c r="L364" s="341">
        <v>0</v>
      </c>
      <c r="M364" s="341">
        <v>0</v>
      </c>
      <c r="N364" s="341">
        <v>0</v>
      </c>
      <c r="O364" s="82"/>
      <c r="P364" s="86"/>
    </row>
    <row r="365" spans="1:16">
      <c r="A365" s="100"/>
      <c r="B365" s="85"/>
      <c r="C365" s="100" t="s">
        <v>99</v>
      </c>
      <c r="D365" s="341">
        <v>0</v>
      </c>
      <c r="E365" s="341">
        <v>0</v>
      </c>
      <c r="F365" s="341">
        <v>0</v>
      </c>
      <c r="G365" s="341">
        <v>0</v>
      </c>
      <c r="H365" s="341">
        <v>0</v>
      </c>
      <c r="I365" s="341">
        <v>0</v>
      </c>
      <c r="J365" s="341">
        <v>0</v>
      </c>
      <c r="K365" s="341">
        <v>0</v>
      </c>
      <c r="L365" s="341">
        <v>0</v>
      </c>
      <c r="M365" s="341">
        <v>0</v>
      </c>
      <c r="N365" s="341">
        <v>0</v>
      </c>
      <c r="O365" s="82"/>
      <c r="P365" s="86"/>
    </row>
    <row r="366" spans="1:16">
      <c r="A366" s="100"/>
      <c r="B366" s="85"/>
      <c r="C366" s="100" t="s">
        <v>83</v>
      </c>
      <c r="D366" s="341">
        <v>0</v>
      </c>
      <c r="E366" s="341">
        <v>0</v>
      </c>
      <c r="F366" s="341">
        <v>0</v>
      </c>
      <c r="G366" s="341">
        <v>0</v>
      </c>
      <c r="H366" s="341">
        <v>0</v>
      </c>
      <c r="I366" s="341">
        <v>0</v>
      </c>
      <c r="J366" s="341">
        <v>0</v>
      </c>
      <c r="K366" s="341">
        <v>0</v>
      </c>
      <c r="L366" s="341">
        <v>0</v>
      </c>
      <c r="M366" s="341">
        <v>0</v>
      </c>
      <c r="N366" s="341">
        <v>0</v>
      </c>
      <c r="O366" s="82"/>
      <c r="P366" s="86"/>
    </row>
    <row r="367" spans="1:16">
      <c r="A367" s="100"/>
      <c r="B367" s="85"/>
      <c r="C367" s="100" t="s">
        <v>84</v>
      </c>
      <c r="D367" s="341">
        <v>1</v>
      </c>
      <c r="E367" s="341">
        <v>1</v>
      </c>
      <c r="F367" s="341">
        <v>1</v>
      </c>
      <c r="G367" s="341">
        <v>0</v>
      </c>
      <c r="H367" s="341">
        <v>1</v>
      </c>
      <c r="I367" s="341">
        <v>0</v>
      </c>
      <c r="J367" s="341">
        <v>0</v>
      </c>
      <c r="K367" s="341">
        <v>0</v>
      </c>
      <c r="L367" s="341">
        <v>0</v>
      </c>
      <c r="M367" s="341">
        <v>0</v>
      </c>
      <c r="N367" s="341">
        <v>0</v>
      </c>
      <c r="O367" s="82"/>
      <c r="P367" s="86"/>
    </row>
    <row r="368" spans="1:16">
      <c r="A368" s="100"/>
      <c r="B368" s="85"/>
      <c r="C368" s="100" t="s">
        <v>85</v>
      </c>
      <c r="D368" s="341">
        <v>1</v>
      </c>
      <c r="E368" s="341">
        <v>1</v>
      </c>
      <c r="F368" s="341">
        <v>1</v>
      </c>
      <c r="G368" s="341">
        <v>1</v>
      </c>
      <c r="H368" s="341">
        <v>0</v>
      </c>
      <c r="I368" s="341">
        <v>0</v>
      </c>
      <c r="J368" s="341">
        <v>0</v>
      </c>
      <c r="K368" s="341">
        <v>0</v>
      </c>
      <c r="L368" s="341">
        <v>0</v>
      </c>
      <c r="M368" s="341">
        <v>0</v>
      </c>
      <c r="N368" s="341">
        <v>0</v>
      </c>
      <c r="O368" s="82"/>
      <c r="P368" s="86"/>
    </row>
    <row r="369" spans="1:16">
      <c r="A369" s="100"/>
      <c r="B369" s="85"/>
      <c r="C369" s="100" t="s">
        <v>86</v>
      </c>
      <c r="D369" s="341">
        <v>2</v>
      </c>
      <c r="E369" s="341">
        <v>0</v>
      </c>
      <c r="F369" s="341">
        <v>0</v>
      </c>
      <c r="G369" s="341">
        <v>0</v>
      </c>
      <c r="H369" s="341">
        <v>0</v>
      </c>
      <c r="I369" s="341">
        <v>0</v>
      </c>
      <c r="J369" s="341">
        <v>0</v>
      </c>
      <c r="K369" s="341">
        <v>0</v>
      </c>
      <c r="L369" s="341">
        <v>0</v>
      </c>
      <c r="M369" s="341">
        <v>0</v>
      </c>
      <c r="N369" s="341">
        <v>0</v>
      </c>
      <c r="O369" s="82"/>
      <c r="P369" s="86"/>
    </row>
    <row r="370" spans="1:16">
      <c r="A370" s="100"/>
      <c r="B370" s="85"/>
      <c r="C370" s="100" t="s">
        <v>87</v>
      </c>
      <c r="D370" s="341">
        <v>3</v>
      </c>
      <c r="E370" s="341">
        <v>1</v>
      </c>
      <c r="F370" s="341">
        <v>1</v>
      </c>
      <c r="G370" s="341">
        <v>1</v>
      </c>
      <c r="H370" s="341">
        <v>0</v>
      </c>
      <c r="I370" s="341">
        <v>0</v>
      </c>
      <c r="J370" s="341">
        <v>0</v>
      </c>
      <c r="K370" s="341">
        <v>0</v>
      </c>
      <c r="L370" s="341">
        <v>0</v>
      </c>
      <c r="M370" s="341">
        <v>0</v>
      </c>
      <c r="N370" s="341">
        <v>0</v>
      </c>
      <c r="O370" s="82"/>
      <c r="P370" s="86"/>
    </row>
    <row r="371" spans="1:16">
      <c r="A371" s="100"/>
      <c r="B371" s="85"/>
      <c r="C371" s="100" t="s">
        <v>88</v>
      </c>
      <c r="D371" s="341">
        <v>2</v>
      </c>
      <c r="E371" s="341">
        <v>1</v>
      </c>
      <c r="F371" s="341">
        <v>0</v>
      </c>
      <c r="G371" s="341">
        <v>0</v>
      </c>
      <c r="H371" s="341">
        <v>0</v>
      </c>
      <c r="I371" s="341">
        <v>0</v>
      </c>
      <c r="J371" s="341">
        <v>0</v>
      </c>
      <c r="K371" s="341">
        <v>0</v>
      </c>
      <c r="L371" s="341">
        <v>0</v>
      </c>
      <c r="M371" s="341">
        <v>0</v>
      </c>
      <c r="N371" s="341">
        <v>0</v>
      </c>
      <c r="O371" s="82"/>
      <c r="P371" s="86"/>
    </row>
    <row r="372" spans="1:16">
      <c r="A372" s="100"/>
      <c r="B372" s="85"/>
      <c r="C372" s="100" t="s">
        <v>89</v>
      </c>
      <c r="D372" s="341">
        <v>1</v>
      </c>
      <c r="E372" s="341">
        <v>0</v>
      </c>
      <c r="F372" s="341">
        <v>0</v>
      </c>
      <c r="G372" s="341">
        <v>0</v>
      </c>
      <c r="H372" s="341">
        <v>0</v>
      </c>
      <c r="I372" s="341">
        <v>0</v>
      </c>
      <c r="J372" s="341">
        <v>0</v>
      </c>
      <c r="K372" s="341">
        <v>0</v>
      </c>
      <c r="L372" s="341">
        <v>0</v>
      </c>
      <c r="M372" s="341">
        <v>0</v>
      </c>
      <c r="N372" s="341">
        <v>0</v>
      </c>
      <c r="O372" s="82"/>
      <c r="P372" s="86"/>
    </row>
    <row r="373" spans="1:16">
      <c r="A373" s="100"/>
      <c r="B373" s="85"/>
      <c r="C373" s="100" t="s">
        <v>90</v>
      </c>
      <c r="D373" s="341">
        <v>0</v>
      </c>
      <c r="E373" s="341">
        <v>0</v>
      </c>
      <c r="F373" s="341">
        <v>1</v>
      </c>
      <c r="G373" s="341">
        <v>1</v>
      </c>
      <c r="H373" s="341">
        <v>0</v>
      </c>
      <c r="I373" s="341">
        <v>0</v>
      </c>
      <c r="J373" s="341">
        <v>0</v>
      </c>
      <c r="K373" s="341">
        <v>0</v>
      </c>
      <c r="L373" s="341">
        <v>0</v>
      </c>
      <c r="M373" s="341">
        <v>0</v>
      </c>
      <c r="N373" s="341">
        <v>0</v>
      </c>
      <c r="O373" s="82"/>
      <c r="P373" s="86"/>
    </row>
    <row r="374" spans="1:16">
      <c r="A374" s="100"/>
      <c r="B374" s="85"/>
      <c r="C374" s="100" t="s">
        <v>91</v>
      </c>
      <c r="D374" s="341">
        <v>0</v>
      </c>
      <c r="E374" s="341">
        <v>1</v>
      </c>
      <c r="F374" s="341">
        <v>1</v>
      </c>
      <c r="G374" s="341">
        <v>0</v>
      </c>
      <c r="H374" s="341">
        <v>1</v>
      </c>
      <c r="I374" s="341">
        <v>0</v>
      </c>
      <c r="J374" s="341">
        <v>0</v>
      </c>
      <c r="K374" s="341">
        <v>0</v>
      </c>
      <c r="L374" s="341">
        <v>0</v>
      </c>
      <c r="M374" s="341">
        <v>0</v>
      </c>
      <c r="N374" s="341">
        <v>0</v>
      </c>
      <c r="O374" s="82"/>
      <c r="P374" s="86"/>
    </row>
    <row r="375" spans="1:16">
      <c r="A375" s="100"/>
      <c r="B375" s="85"/>
      <c r="C375" s="100" t="s">
        <v>92</v>
      </c>
      <c r="D375" s="341">
        <v>0</v>
      </c>
      <c r="E375" s="341">
        <v>1</v>
      </c>
      <c r="F375" s="341">
        <v>0</v>
      </c>
      <c r="G375" s="341">
        <v>0</v>
      </c>
      <c r="H375" s="341">
        <v>0</v>
      </c>
      <c r="I375" s="341">
        <v>1</v>
      </c>
      <c r="J375" s="341">
        <v>0</v>
      </c>
      <c r="K375" s="341">
        <v>0</v>
      </c>
      <c r="L375" s="341">
        <v>0</v>
      </c>
      <c r="M375" s="341">
        <v>0</v>
      </c>
      <c r="N375" s="341">
        <v>0</v>
      </c>
      <c r="O375" s="82"/>
      <c r="P375" s="86"/>
    </row>
    <row r="376" spans="1:16">
      <c r="A376" s="100"/>
      <c r="B376" s="85"/>
      <c r="C376" s="100" t="s">
        <v>95</v>
      </c>
      <c r="D376" s="341">
        <v>0</v>
      </c>
      <c r="E376" s="341">
        <v>0</v>
      </c>
      <c r="F376" s="341">
        <v>0</v>
      </c>
      <c r="G376" s="341">
        <v>1</v>
      </c>
      <c r="H376" s="341">
        <v>0</v>
      </c>
      <c r="I376" s="341">
        <v>0</v>
      </c>
      <c r="J376" s="341">
        <v>0</v>
      </c>
      <c r="K376" s="341">
        <v>0</v>
      </c>
      <c r="L376" s="341">
        <v>0</v>
      </c>
      <c r="M376" s="341">
        <v>0</v>
      </c>
      <c r="N376" s="341">
        <v>0</v>
      </c>
      <c r="O376" s="82"/>
      <c r="P376" s="86"/>
    </row>
    <row r="377" spans="1:16">
      <c r="A377" s="100"/>
      <c r="B377" s="85"/>
      <c r="C377" s="100" t="s">
        <v>96</v>
      </c>
      <c r="D377" s="341">
        <v>0</v>
      </c>
      <c r="E377" s="341">
        <v>0</v>
      </c>
      <c r="F377" s="341">
        <v>0</v>
      </c>
      <c r="G377" s="341">
        <v>0</v>
      </c>
      <c r="H377" s="341">
        <v>0</v>
      </c>
      <c r="I377" s="341">
        <v>0</v>
      </c>
      <c r="J377" s="341">
        <v>0</v>
      </c>
      <c r="K377" s="341">
        <v>0</v>
      </c>
      <c r="L377" s="341">
        <v>0</v>
      </c>
      <c r="M377" s="341">
        <v>0</v>
      </c>
      <c r="N377" s="341">
        <v>0</v>
      </c>
      <c r="O377" s="82"/>
      <c r="P377" s="86"/>
    </row>
    <row r="378" spans="1:16">
      <c r="A378" s="100"/>
      <c r="B378" s="85"/>
      <c r="C378" s="100" t="s">
        <v>93</v>
      </c>
      <c r="D378" s="341">
        <v>0</v>
      </c>
      <c r="E378" s="341">
        <v>1</v>
      </c>
      <c r="F378" s="341">
        <v>0</v>
      </c>
      <c r="G378" s="341">
        <v>0</v>
      </c>
      <c r="H378" s="341">
        <v>0</v>
      </c>
      <c r="I378" s="341">
        <v>0</v>
      </c>
      <c r="J378" s="341">
        <v>0</v>
      </c>
      <c r="K378" s="341">
        <v>0</v>
      </c>
      <c r="L378" s="341">
        <v>0</v>
      </c>
      <c r="M378" s="341">
        <v>0</v>
      </c>
      <c r="N378" s="341">
        <v>0</v>
      </c>
      <c r="O378" s="82"/>
      <c r="P378" s="86"/>
    </row>
    <row r="379" spans="1:16">
      <c r="A379" s="100"/>
      <c r="B379" s="85"/>
      <c r="C379" s="100" t="s">
        <v>97</v>
      </c>
      <c r="D379" s="341">
        <v>1</v>
      </c>
      <c r="E379" s="341">
        <v>0</v>
      </c>
      <c r="F379" s="341">
        <v>0</v>
      </c>
      <c r="G379" s="341">
        <v>0</v>
      </c>
      <c r="H379" s="341">
        <v>0</v>
      </c>
      <c r="I379" s="341">
        <v>0</v>
      </c>
      <c r="J379" s="341">
        <v>0</v>
      </c>
      <c r="K379" s="341">
        <v>0</v>
      </c>
      <c r="L379" s="341">
        <v>0</v>
      </c>
      <c r="M379" s="341">
        <v>0</v>
      </c>
      <c r="N379" s="341">
        <v>0</v>
      </c>
      <c r="O379" s="82"/>
      <c r="P379" s="86"/>
    </row>
    <row r="380" spans="1:16">
      <c r="A380" s="100"/>
      <c r="B380" s="85"/>
      <c r="C380" s="4" t="s">
        <v>136</v>
      </c>
      <c r="D380" s="341">
        <v>0</v>
      </c>
      <c r="E380" s="341">
        <v>0</v>
      </c>
      <c r="F380" s="341">
        <v>0</v>
      </c>
      <c r="G380" s="341">
        <v>0</v>
      </c>
      <c r="H380" s="341">
        <v>0</v>
      </c>
      <c r="I380" s="341">
        <v>0</v>
      </c>
      <c r="J380" s="341">
        <v>0</v>
      </c>
      <c r="K380" s="341">
        <v>0</v>
      </c>
      <c r="L380" s="341">
        <v>0</v>
      </c>
      <c r="M380" s="341">
        <v>0</v>
      </c>
      <c r="N380" s="341">
        <v>0</v>
      </c>
      <c r="O380" s="82"/>
      <c r="P380" s="86"/>
    </row>
    <row r="381" spans="1:16">
      <c r="A381" s="100"/>
      <c r="B381" s="85" t="s">
        <v>162</v>
      </c>
      <c r="C381" s="100" t="s">
        <v>102</v>
      </c>
      <c r="D381" s="341">
        <v>0</v>
      </c>
      <c r="E381" s="341">
        <v>0</v>
      </c>
      <c r="F381" s="341">
        <v>0</v>
      </c>
      <c r="G381" s="341">
        <v>0</v>
      </c>
      <c r="H381" s="341">
        <v>0</v>
      </c>
      <c r="I381" s="341">
        <v>0</v>
      </c>
      <c r="J381" s="341">
        <v>0</v>
      </c>
      <c r="K381" s="341">
        <v>0</v>
      </c>
      <c r="L381" s="341">
        <v>0</v>
      </c>
      <c r="M381" s="341">
        <v>0</v>
      </c>
      <c r="N381" s="341">
        <v>0</v>
      </c>
      <c r="O381" s="82"/>
      <c r="P381" s="86"/>
    </row>
    <row r="382" spans="1:16">
      <c r="A382" s="100"/>
      <c r="B382" s="85"/>
      <c r="C382" s="100" t="s">
        <v>98</v>
      </c>
      <c r="D382" s="341">
        <v>0</v>
      </c>
      <c r="E382" s="341">
        <v>0</v>
      </c>
      <c r="F382" s="341">
        <v>0</v>
      </c>
      <c r="G382" s="341">
        <v>0</v>
      </c>
      <c r="H382" s="341">
        <v>0</v>
      </c>
      <c r="I382" s="341">
        <v>0</v>
      </c>
      <c r="J382" s="341">
        <v>0</v>
      </c>
      <c r="K382" s="341">
        <v>0</v>
      </c>
      <c r="L382" s="341">
        <v>0</v>
      </c>
      <c r="M382" s="341">
        <v>0</v>
      </c>
      <c r="N382" s="341">
        <v>0</v>
      </c>
      <c r="O382" s="82"/>
      <c r="P382" s="86"/>
    </row>
    <row r="383" spans="1:16">
      <c r="A383" s="100"/>
      <c r="B383" s="85"/>
      <c r="C383" s="100" t="s">
        <v>99</v>
      </c>
      <c r="D383" s="341">
        <v>0</v>
      </c>
      <c r="E383" s="341">
        <v>0</v>
      </c>
      <c r="F383" s="341">
        <v>0</v>
      </c>
      <c r="G383" s="341">
        <v>0</v>
      </c>
      <c r="H383" s="341">
        <v>0</v>
      </c>
      <c r="I383" s="341">
        <v>0</v>
      </c>
      <c r="J383" s="341">
        <v>0</v>
      </c>
      <c r="K383" s="341">
        <v>0</v>
      </c>
      <c r="L383" s="341">
        <v>0</v>
      </c>
      <c r="M383" s="341">
        <v>0</v>
      </c>
      <c r="N383" s="341">
        <v>0</v>
      </c>
      <c r="O383" s="82"/>
      <c r="P383" s="86"/>
    </row>
    <row r="384" spans="1:16">
      <c r="A384" s="100"/>
      <c r="B384" s="85"/>
      <c r="C384" s="100" t="s">
        <v>83</v>
      </c>
      <c r="D384" s="341">
        <v>0</v>
      </c>
      <c r="E384" s="341">
        <v>0</v>
      </c>
      <c r="F384" s="341">
        <v>0</v>
      </c>
      <c r="G384" s="341">
        <v>0</v>
      </c>
      <c r="H384" s="341">
        <v>0</v>
      </c>
      <c r="I384" s="341">
        <v>0</v>
      </c>
      <c r="J384" s="341">
        <v>0</v>
      </c>
      <c r="K384" s="341">
        <v>0</v>
      </c>
      <c r="L384" s="341">
        <v>0</v>
      </c>
      <c r="M384" s="341">
        <v>0</v>
      </c>
      <c r="N384" s="341">
        <v>0</v>
      </c>
      <c r="O384" s="82"/>
      <c r="P384" s="86"/>
    </row>
    <row r="385" spans="1:16">
      <c r="A385" s="100"/>
      <c r="B385" s="85"/>
      <c r="C385" s="100" t="s">
        <v>84</v>
      </c>
      <c r="D385" s="341">
        <v>0</v>
      </c>
      <c r="E385" s="341">
        <v>0</v>
      </c>
      <c r="F385" s="341">
        <v>0</v>
      </c>
      <c r="G385" s="341">
        <v>0</v>
      </c>
      <c r="H385" s="341">
        <v>0</v>
      </c>
      <c r="I385" s="341">
        <v>0</v>
      </c>
      <c r="J385" s="341">
        <v>0</v>
      </c>
      <c r="K385" s="341">
        <v>0</v>
      </c>
      <c r="L385" s="341">
        <v>0</v>
      </c>
      <c r="M385" s="341">
        <v>0</v>
      </c>
      <c r="N385" s="341">
        <v>0</v>
      </c>
      <c r="O385" s="82"/>
      <c r="P385" s="86"/>
    </row>
    <row r="386" spans="1:16">
      <c r="A386" s="100"/>
      <c r="B386" s="85"/>
      <c r="C386" s="100" t="s">
        <v>85</v>
      </c>
      <c r="D386" s="341">
        <v>0</v>
      </c>
      <c r="E386" s="341">
        <v>0</v>
      </c>
      <c r="F386" s="341">
        <v>0</v>
      </c>
      <c r="G386" s="341">
        <v>0</v>
      </c>
      <c r="H386" s="341">
        <v>0</v>
      </c>
      <c r="I386" s="341">
        <v>0</v>
      </c>
      <c r="J386" s="341">
        <v>0</v>
      </c>
      <c r="K386" s="341">
        <v>0</v>
      </c>
      <c r="L386" s="341">
        <v>0</v>
      </c>
      <c r="M386" s="341">
        <v>0</v>
      </c>
      <c r="N386" s="341">
        <v>0</v>
      </c>
      <c r="O386" s="82"/>
      <c r="P386" s="86"/>
    </row>
    <row r="387" spans="1:16">
      <c r="A387" s="100"/>
      <c r="B387" s="85"/>
      <c r="C387" s="100" t="s">
        <v>86</v>
      </c>
      <c r="D387" s="341">
        <v>0</v>
      </c>
      <c r="E387" s="341">
        <v>0</v>
      </c>
      <c r="F387" s="341">
        <v>0</v>
      </c>
      <c r="G387" s="341">
        <v>0</v>
      </c>
      <c r="H387" s="341">
        <v>0</v>
      </c>
      <c r="I387" s="341">
        <v>0</v>
      </c>
      <c r="J387" s="341">
        <v>0</v>
      </c>
      <c r="K387" s="341">
        <v>0</v>
      </c>
      <c r="L387" s="341">
        <v>0</v>
      </c>
      <c r="M387" s="341">
        <v>0</v>
      </c>
      <c r="N387" s="341">
        <v>0</v>
      </c>
      <c r="O387" s="82"/>
      <c r="P387" s="86"/>
    </row>
    <row r="388" spans="1:16">
      <c r="A388" s="100"/>
      <c r="B388" s="85"/>
      <c r="C388" s="100" t="s">
        <v>87</v>
      </c>
      <c r="D388" s="341">
        <v>0</v>
      </c>
      <c r="E388" s="341">
        <v>0</v>
      </c>
      <c r="F388" s="341">
        <v>0</v>
      </c>
      <c r="G388" s="341">
        <v>0</v>
      </c>
      <c r="H388" s="341">
        <v>0</v>
      </c>
      <c r="I388" s="341">
        <v>0</v>
      </c>
      <c r="J388" s="341">
        <v>0</v>
      </c>
      <c r="K388" s="341">
        <v>0</v>
      </c>
      <c r="L388" s="341">
        <v>0</v>
      </c>
      <c r="M388" s="341">
        <v>0</v>
      </c>
      <c r="N388" s="341">
        <v>0</v>
      </c>
      <c r="O388" s="82"/>
      <c r="P388" s="86"/>
    </row>
    <row r="389" spans="1:16">
      <c r="A389" s="100"/>
      <c r="B389" s="85"/>
      <c r="C389" s="100" t="s">
        <v>88</v>
      </c>
      <c r="D389" s="341">
        <v>0</v>
      </c>
      <c r="E389" s="341">
        <v>0</v>
      </c>
      <c r="F389" s="341">
        <v>0</v>
      </c>
      <c r="G389" s="341">
        <v>0</v>
      </c>
      <c r="H389" s="341">
        <v>0</v>
      </c>
      <c r="I389" s="341">
        <v>0</v>
      </c>
      <c r="J389" s="341">
        <v>0</v>
      </c>
      <c r="K389" s="341">
        <v>0</v>
      </c>
      <c r="L389" s="341">
        <v>0</v>
      </c>
      <c r="M389" s="341">
        <v>0</v>
      </c>
      <c r="N389" s="341">
        <v>0</v>
      </c>
      <c r="O389" s="82"/>
      <c r="P389" s="86"/>
    </row>
    <row r="390" spans="1:16">
      <c r="A390" s="100"/>
      <c r="B390" s="85"/>
      <c r="C390" s="100" t="s">
        <v>89</v>
      </c>
      <c r="D390" s="341">
        <v>0</v>
      </c>
      <c r="E390" s="341">
        <v>0</v>
      </c>
      <c r="F390" s="341">
        <v>0</v>
      </c>
      <c r="G390" s="341">
        <v>0</v>
      </c>
      <c r="H390" s="341">
        <v>0</v>
      </c>
      <c r="I390" s="341">
        <v>0</v>
      </c>
      <c r="J390" s="341">
        <v>0</v>
      </c>
      <c r="K390" s="341">
        <v>0</v>
      </c>
      <c r="L390" s="341">
        <v>0</v>
      </c>
      <c r="M390" s="341">
        <v>0</v>
      </c>
      <c r="N390" s="341">
        <v>0</v>
      </c>
      <c r="O390" s="82"/>
      <c r="P390" s="86"/>
    </row>
    <row r="391" spans="1:16">
      <c r="A391" s="100"/>
      <c r="B391" s="85"/>
      <c r="C391" s="100" t="s">
        <v>90</v>
      </c>
      <c r="D391" s="341">
        <v>0</v>
      </c>
      <c r="E391" s="341">
        <v>0</v>
      </c>
      <c r="F391" s="341">
        <v>0</v>
      </c>
      <c r="G391" s="341">
        <v>0</v>
      </c>
      <c r="H391" s="341">
        <v>0</v>
      </c>
      <c r="I391" s="341">
        <v>0</v>
      </c>
      <c r="J391" s="341">
        <v>0</v>
      </c>
      <c r="K391" s="341">
        <v>0</v>
      </c>
      <c r="L391" s="341">
        <v>0</v>
      </c>
      <c r="M391" s="341">
        <v>0</v>
      </c>
      <c r="N391" s="341">
        <v>0</v>
      </c>
      <c r="O391" s="82"/>
      <c r="P391" s="86"/>
    </row>
    <row r="392" spans="1:16">
      <c r="A392" s="100"/>
      <c r="B392" s="85"/>
      <c r="C392" s="100" t="s">
        <v>91</v>
      </c>
      <c r="D392" s="341">
        <v>0</v>
      </c>
      <c r="E392" s="341">
        <v>0</v>
      </c>
      <c r="F392" s="341">
        <v>0</v>
      </c>
      <c r="G392" s="341">
        <v>0</v>
      </c>
      <c r="H392" s="341">
        <v>0</v>
      </c>
      <c r="I392" s="341">
        <v>0</v>
      </c>
      <c r="J392" s="341">
        <v>0</v>
      </c>
      <c r="K392" s="341">
        <v>0</v>
      </c>
      <c r="L392" s="341">
        <v>0</v>
      </c>
      <c r="M392" s="341">
        <v>0</v>
      </c>
      <c r="N392" s="341">
        <v>0</v>
      </c>
      <c r="O392" s="82"/>
      <c r="P392" s="86"/>
    </row>
    <row r="393" spans="1:16">
      <c r="A393" s="100"/>
      <c r="B393" s="85"/>
      <c r="C393" s="100" t="s">
        <v>92</v>
      </c>
      <c r="D393" s="341">
        <v>0</v>
      </c>
      <c r="E393" s="341">
        <v>0</v>
      </c>
      <c r="F393" s="341">
        <v>0</v>
      </c>
      <c r="G393" s="341">
        <v>0</v>
      </c>
      <c r="H393" s="341">
        <v>0</v>
      </c>
      <c r="I393" s="341">
        <v>0</v>
      </c>
      <c r="J393" s="341">
        <v>0</v>
      </c>
      <c r="K393" s="341">
        <v>0</v>
      </c>
      <c r="L393" s="341">
        <v>0</v>
      </c>
      <c r="M393" s="341">
        <v>0</v>
      </c>
      <c r="N393" s="341">
        <v>0</v>
      </c>
      <c r="O393" s="82"/>
      <c r="P393" s="86"/>
    </row>
    <row r="394" spans="1:16">
      <c r="A394" s="100"/>
      <c r="B394" s="85"/>
      <c r="C394" s="100" t="s">
        <v>95</v>
      </c>
      <c r="D394" s="341">
        <v>0</v>
      </c>
      <c r="E394" s="341">
        <v>0</v>
      </c>
      <c r="F394" s="341">
        <v>0</v>
      </c>
      <c r="G394" s="341">
        <v>0</v>
      </c>
      <c r="H394" s="341">
        <v>0</v>
      </c>
      <c r="I394" s="341">
        <v>0</v>
      </c>
      <c r="J394" s="341">
        <v>0</v>
      </c>
      <c r="K394" s="341">
        <v>0</v>
      </c>
      <c r="L394" s="341">
        <v>0</v>
      </c>
      <c r="M394" s="341">
        <v>0</v>
      </c>
      <c r="N394" s="341">
        <v>0</v>
      </c>
      <c r="O394" s="82"/>
      <c r="P394" s="86"/>
    </row>
    <row r="395" spans="1:16">
      <c r="A395" s="100"/>
      <c r="B395" s="85"/>
      <c r="C395" s="100" t="s">
        <v>96</v>
      </c>
      <c r="D395" s="341">
        <v>0</v>
      </c>
      <c r="E395" s="341">
        <v>0</v>
      </c>
      <c r="F395" s="341">
        <v>0</v>
      </c>
      <c r="G395" s="341">
        <v>0</v>
      </c>
      <c r="H395" s="341">
        <v>0</v>
      </c>
      <c r="I395" s="341">
        <v>0</v>
      </c>
      <c r="J395" s="341">
        <v>0</v>
      </c>
      <c r="K395" s="341">
        <v>0</v>
      </c>
      <c r="L395" s="341">
        <v>0</v>
      </c>
      <c r="M395" s="341">
        <v>0</v>
      </c>
      <c r="N395" s="341">
        <v>0</v>
      </c>
      <c r="O395" s="82"/>
      <c r="P395" s="86"/>
    </row>
    <row r="396" spans="1:16">
      <c r="A396" s="100"/>
      <c r="B396" s="85"/>
      <c r="C396" s="100" t="s">
        <v>93</v>
      </c>
      <c r="D396" s="341">
        <v>0</v>
      </c>
      <c r="E396" s="341">
        <v>0</v>
      </c>
      <c r="F396" s="341">
        <v>0</v>
      </c>
      <c r="G396" s="341">
        <v>0</v>
      </c>
      <c r="H396" s="341">
        <v>0</v>
      </c>
      <c r="I396" s="341">
        <v>0</v>
      </c>
      <c r="J396" s="341">
        <v>0</v>
      </c>
      <c r="K396" s="341">
        <v>0</v>
      </c>
      <c r="L396" s="341">
        <v>0</v>
      </c>
      <c r="M396" s="341">
        <v>0</v>
      </c>
      <c r="N396" s="341">
        <v>0</v>
      </c>
      <c r="O396" s="82"/>
      <c r="P396" s="86"/>
    </row>
    <row r="397" spans="1:16">
      <c r="A397" s="100"/>
      <c r="B397" s="85"/>
      <c r="C397" s="100" t="s">
        <v>97</v>
      </c>
      <c r="D397" s="341">
        <v>0</v>
      </c>
      <c r="E397" s="341">
        <v>0</v>
      </c>
      <c r="F397" s="341">
        <v>0</v>
      </c>
      <c r="G397" s="341">
        <v>0</v>
      </c>
      <c r="H397" s="341">
        <v>0</v>
      </c>
      <c r="I397" s="341">
        <v>0</v>
      </c>
      <c r="J397" s="341">
        <v>0</v>
      </c>
      <c r="K397" s="341">
        <v>0</v>
      </c>
      <c r="L397" s="341">
        <v>0</v>
      </c>
      <c r="M397" s="341">
        <v>0</v>
      </c>
      <c r="N397" s="341">
        <v>0</v>
      </c>
      <c r="O397" s="82"/>
      <c r="P397" s="86"/>
    </row>
    <row r="398" spans="1:16">
      <c r="A398" s="100"/>
      <c r="B398" s="85"/>
      <c r="C398" s="4" t="s">
        <v>136</v>
      </c>
      <c r="D398" s="341">
        <v>0</v>
      </c>
      <c r="E398" s="341">
        <v>0</v>
      </c>
      <c r="F398" s="341">
        <v>0</v>
      </c>
      <c r="G398" s="341">
        <v>0</v>
      </c>
      <c r="H398" s="341">
        <v>0</v>
      </c>
      <c r="I398" s="341">
        <v>0</v>
      </c>
      <c r="J398" s="341">
        <v>0</v>
      </c>
      <c r="K398" s="341">
        <v>0</v>
      </c>
      <c r="L398" s="341">
        <v>0</v>
      </c>
      <c r="M398" s="341">
        <v>0</v>
      </c>
      <c r="N398" s="341">
        <v>0</v>
      </c>
      <c r="O398" s="82"/>
      <c r="P398" s="86"/>
    </row>
    <row r="399" spans="1:16">
      <c r="A399" s="100"/>
      <c r="B399" s="85" t="s">
        <v>163</v>
      </c>
      <c r="C399" s="100" t="s">
        <v>102</v>
      </c>
      <c r="D399" s="341">
        <v>0</v>
      </c>
      <c r="E399" s="341">
        <v>0</v>
      </c>
      <c r="F399" s="341">
        <v>0</v>
      </c>
      <c r="G399" s="341">
        <v>0</v>
      </c>
      <c r="H399" s="341">
        <v>0</v>
      </c>
      <c r="I399" s="341">
        <v>0</v>
      </c>
      <c r="J399" s="341">
        <v>0</v>
      </c>
      <c r="K399" s="341">
        <v>0</v>
      </c>
      <c r="L399" s="341">
        <v>0</v>
      </c>
      <c r="M399" s="341">
        <v>0</v>
      </c>
      <c r="N399" s="341">
        <v>0</v>
      </c>
      <c r="O399" s="82"/>
      <c r="P399" s="86"/>
    </row>
    <row r="400" spans="1:16">
      <c r="A400" s="100"/>
      <c r="B400" s="85"/>
      <c r="C400" s="100" t="s">
        <v>98</v>
      </c>
      <c r="D400" s="341">
        <v>0</v>
      </c>
      <c r="E400" s="341">
        <v>0</v>
      </c>
      <c r="F400" s="341">
        <v>0</v>
      </c>
      <c r="G400" s="341">
        <v>0</v>
      </c>
      <c r="H400" s="341">
        <v>0</v>
      </c>
      <c r="I400" s="341">
        <v>0</v>
      </c>
      <c r="J400" s="341">
        <v>0</v>
      </c>
      <c r="K400" s="341">
        <v>0</v>
      </c>
      <c r="L400" s="341">
        <v>0</v>
      </c>
      <c r="M400" s="341">
        <v>0</v>
      </c>
      <c r="N400" s="341">
        <v>0</v>
      </c>
      <c r="O400" s="82"/>
      <c r="P400" s="86"/>
    </row>
    <row r="401" spans="1:16">
      <c r="A401" s="100"/>
      <c r="B401" s="85"/>
      <c r="C401" s="100" t="s">
        <v>99</v>
      </c>
      <c r="D401" s="341">
        <v>0</v>
      </c>
      <c r="E401" s="341">
        <v>0</v>
      </c>
      <c r="F401" s="341">
        <v>0</v>
      </c>
      <c r="G401" s="341">
        <v>0</v>
      </c>
      <c r="H401" s="341">
        <v>0</v>
      </c>
      <c r="I401" s="341">
        <v>0</v>
      </c>
      <c r="J401" s="341">
        <v>0</v>
      </c>
      <c r="K401" s="341">
        <v>0</v>
      </c>
      <c r="L401" s="341">
        <v>0</v>
      </c>
      <c r="M401" s="341">
        <v>0</v>
      </c>
      <c r="N401" s="341">
        <v>0</v>
      </c>
      <c r="O401" s="82"/>
      <c r="P401" s="86"/>
    </row>
    <row r="402" spans="1:16">
      <c r="A402" s="100"/>
      <c r="B402" s="85"/>
      <c r="C402" s="100" t="s">
        <v>83</v>
      </c>
      <c r="D402" s="341">
        <v>0</v>
      </c>
      <c r="E402" s="341">
        <v>0</v>
      </c>
      <c r="F402" s="341">
        <v>0</v>
      </c>
      <c r="G402" s="341">
        <v>0</v>
      </c>
      <c r="H402" s="341">
        <v>0</v>
      </c>
      <c r="I402" s="341">
        <v>0</v>
      </c>
      <c r="J402" s="341">
        <v>0</v>
      </c>
      <c r="K402" s="341">
        <v>0</v>
      </c>
      <c r="L402" s="341">
        <v>0</v>
      </c>
      <c r="M402" s="341">
        <v>0</v>
      </c>
      <c r="N402" s="341">
        <v>0</v>
      </c>
      <c r="O402" s="82"/>
      <c r="P402" s="86"/>
    </row>
    <row r="403" spans="1:16">
      <c r="A403" s="100"/>
      <c r="B403" s="85"/>
      <c r="C403" s="100" t="s">
        <v>84</v>
      </c>
      <c r="D403" s="341">
        <v>0</v>
      </c>
      <c r="E403" s="341">
        <v>0</v>
      </c>
      <c r="F403" s="341">
        <v>0</v>
      </c>
      <c r="G403" s="341">
        <v>0</v>
      </c>
      <c r="H403" s="341">
        <v>0</v>
      </c>
      <c r="I403" s="341">
        <v>0</v>
      </c>
      <c r="J403" s="341">
        <v>0</v>
      </c>
      <c r="K403" s="341">
        <v>0</v>
      </c>
      <c r="L403" s="341">
        <v>0</v>
      </c>
      <c r="M403" s="341">
        <v>0</v>
      </c>
      <c r="N403" s="341">
        <v>0</v>
      </c>
      <c r="O403" s="82"/>
      <c r="P403" s="86"/>
    </row>
    <row r="404" spans="1:16">
      <c r="A404" s="100"/>
      <c r="B404" s="85"/>
      <c r="C404" s="100" t="s">
        <v>85</v>
      </c>
      <c r="D404" s="341">
        <v>0</v>
      </c>
      <c r="E404" s="341">
        <v>0</v>
      </c>
      <c r="F404" s="341">
        <v>0</v>
      </c>
      <c r="G404" s="341">
        <v>0</v>
      </c>
      <c r="H404" s="341">
        <v>0</v>
      </c>
      <c r="I404" s="341">
        <v>0</v>
      </c>
      <c r="J404" s="341">
        <v>0</v>
      </c>
      <c r="K404" s="341">
        <v>0</v>
      </c>
      <c r="L404" s="341">
        <v>0</v>
      </c>
      <c r="M404" s="341">
        <v>0</v>
      </c>
      <c r="N404" s="341">
        <v>0</v>
      </c>
      <c r="O404" s="82"/>
      <c r="P404" s="86"/>
    </row>
    <row r="405" spans="1:16">
      <c r="A405" s="100"/>
      <c r="B405" s="85"/>
      <c r="C405" s="100" t="s">
        <v>86</v>
      </c>
      <c r="D405" s="341">
        <v>0</v>
      </c>
      <c r="E405" s="341">
        <v>0</v>
      </c>
      <c r="F405" s="341">
        <v>0</v>
      </c>
      <c r="G405" s="341">
        <v>0</v>
      </c>
      <c r="H405" s="341">
        <v>0</v>
      </c>
      <c r="I405" s="341">
        <v>0</v>
      </c>
      <c r="J405" s="341">
        <v>0</v>
      </c>
      <c r="K405" s="341">
        <v>0</v>
      </c>
      <c r="L405" s="341">
        <v>0</v>
      </c>
      <c r="M405" s="341">
        <v>0</v>
      </c>
      <c r="N405" s="341">
        <v>0</v>
      </c>
      <c r="O405" s="82"/>
      <c r="P405" s="86"/>
    </row>
    <row r="406" spans="1:16">
      <c r="A406" s="100"/>
      <c r="B406" s="85"/>
      <c r="C406" s="100" t="s">
        <v>87</v>
      </c>
      <c r="D406" s="341">
        <v>0</v>
      </c>
      <c r="E406" s="341">
        <v>0</v>
      </c>
      <c r="F406" s="341">
        <v>0</v>
      </c>
      <c r="G406" s="341">
        <v>0</v>
      </c>
      <c r="H406" s="341">
        <v>0</v>
      </c>
      <c r="I406" s="341">
        <v>0</v>
      </c>
      <c r="J406" s="341">
        <v>0</v>
      </c>
      <c r="K406" s="341">
        <v>0</v>
      </c>
      <c r="L406" s="341">
        <v>0</v>
      </c>
      <c r="M406" s="341">
        <v>0</v>
      </c>
      <c r="N406" s="341">
        <v>0</v>
      </c>
      <c r="O406" s="82"/>
      <c r="P406" s="86"/>
    </row>
    <row r="407" spans="1:16">
      <c r="A407" s="100"/>
      <c r="B407" s="85"/>
      <c r="C407" s="100" t="s">
        <v>88</v>
      </c>
      <c r="D407" s="341">
        <v>0</v>
      </c>
      <c r="E407" s="341">
        <v>0</v>
      </c>
      <c r="F407" s="341">
        <v>0</v>
      </c>
      <c r="G407" s="341">
        <v>0</v>
      </c>
      <c r="H407" s="341">
        <v>0</v>
      </c>
      <c r="I407" s="341">
        <v>0</v>
      </c>
      <c r="J407" s="341">
        <v>0</v>
      </c>
      <c r="K407" s="341">
        <v>0</v>
      </c>
      <c r="L407" s="341">
        <v>0</v>
      </c>
      <c r="M407" s="341">
        <v>0</v>
      </c>
      <c r="N407" s="341">
        <v>0</v>
      </c>
      <c r="O407" s="82"/>
      <c r="P407" s="86"/>
    </row>
    <row r="408" spans="1:16">
      <c r="A408" s="100"/>
      <c r="B408" s="85"/>
      <c r="C408" s="100" t="s">
        <v>89</v>
      </c>
      <c r="D408" s="341">
        <v>0</v>
      </c>
      <c r="E408" s="341">
        <v>0</v>
      </c>
      <c r="F408" s="341">
        <v>0</v>
      </c>
      <c r="G408" s="341">
        <v>0</v>
      </c>
      <c r="H408" s="341">
        <v>0</v>
      </c>
      <c r="I408" s="341">
        <v>0</v>
      </c>
      <c r="J408" s="341">
        <v>0</v>
      </c>
      <c r="K408" s="341">
        <v>0</v>
      </c>
      <c r="L408" s="341">
        <v>0</v>
      </c>
      <c r="M408" s="341">
        <v>0</v>
      </c>
      <c r="N408" s="341">
        <v>0</v>
      </c>
      <c r="O408" s="82"/>
      <c r="P408" s="86"/>
    </row>
    <row r="409" spans="1:16">
      <c r="A409" s="100"/>
      <c r="B409" s="85"/>
      <c r="C409" s="100" t="s">
        <v>90</v>
      </c>
      <c r="D409" s="341">
        <v>0</v>
      </c>
      <c r="E409" s="341">
        <v>0</v>
      </c>
      <c r="F409" s="341">
        <v>0</v>
      </c>
      <c r="G409" s="341">
        <v>0</v>
      </c>
      <c r="H409" s="341">
        <v>0</v>
      </c>
      <c r="I409" s="341">
        <v>0</v>
      </c>
      <c r="J409" s="341">
        <v>0</v>
      </c>
      <c r="K409" s="341">
        <v>0</v>
      </c>
      <c r="L409" s="341">
        <v>0</v>
      </c>
      <c r="M409" s="341">
        <v>0</v>
      </c>
      <c r="N409" s="341">
        <v>0</v>
      </c>
      <c r="O409" s="82"/>
      <c r="P409" s="86"/>
    </row>
    <row r="410" spans="1:16">
      <c r="A410" s="100"/>
      <c r="B410" s="85"/>
      <c r="C410" s="100" t="s">
        <v>91</v>
      </c>
      <c r="D410" s="341">
        <v>0</v>
      </c>
      <c r="E410" s="341">
        <v>0</v>
      </c>
      <c r="F410" s="341">
        <v>0</v>
      </c>
      <c r="G410" s="341">
        <v>0</v>
      </c>
      <c r="H410" s="341">
        <v>0</v>
      </c>
      <c r="I410" s="341">
        <v>0</v>
      </c>
      <c r="J410" s="341">
        <v>0</v>
      </c>
      <c r="K410" s="341">
        <v>0</v>
      </c>
      <c r="L410" s="341">
        <v>0</v>
      </c>
      <c r="M410" s="341">
        <v>0</v>
      </c>
      <c r="N410" s="341">
        <v>0</v>
      </c>
      <c r="O410" s="82"/>
      <c r="P410" s="86"/>
    </row>
    <row r="411" spans="1:16">
      <c r="A411" s="100"/>
      <c r="B411" s="85"/>
      <c r="C411" s="100" t="s">
        <v>92</v>
      </c>
      <c r="D411" s="341">
        <v>0</v>
      </c>
      <c r="E411" s="341">
        <v>0</v>
      </c>
      <c r="F411" s="341">
        <v>0</v>
      </c>
      <c r="G411" s="341">
        <v>0</v>
      </c>
      <c r="H411" s="341">
        <v>0</v>
      </c>
      <c r="I411" s="341">
        <v>0</v>
      </c>
      <c r="J411" s="341">
        <v>0</v>
      </c>
      <c r="K411" s="341">
        <v>0</v>
      </c>
      <c r="L411" s="341">
        <v>0</v>
      </c>
      <c r="M411" s="341">
        <v>0</v>
      </c>
      <c r="N411" s="341">
        <v>0</v>
      </c>
      <c r="O411" s="82"/>
      <c r="P411" s="86"/>
    </row>
    <row r="412" spans="1:16">
      <c r="A412" s="100"/>
      <c r="B412" s="85"/>
      <c r="C412" s="100" t="s">
        <v>95</v>
      </c>
      <c r="D412" s="341">
        <v>0</v>
      </c>
      <c r="E412" s="341">
        <v>0</v>
      </c>
      <c r="F412" s="341">
        <v>0</v>
      </c>
      <c r="G412" s="341">
        <v>0</v>
      </c>
      <c r="H412" s="341">
        <v>0</v>
      </c>
      <c r="I412" s="341">
        <v>0</v>
      </c>
      <c r="J412" s="341">
        <v>0</v>
      </c>
      <c r="K412" s="341">
        <v>0</v>
      </c>
      <c r="L412" s="341">
        <v>0</v>
      </c>
      <c r="M412" s="341">
        <v>0</v>
      </c>
      <c r="N412" s="341">
        <v>0</v>
      </c>
      <c r="O412" s="82"/>
      <c r="P412" s="86"/>
    </row>
    <row r="413" spans="1:16">
      <c r="A413" s="100"/>
      <c r="B413" s="85"/>
      <c r="C413" s="100" t="s">
        <v>96</v>
      </c>
      <c r="D413" s="341">
        <v>0</v>
      </c>
      <c r="E413" s="341">
        <v>0</v>
      </c>
      <c r="F413" s="341">
        <v>0</v>
      </c>
      <c r="G413" s="341">
        <v>0</v>
      </c>
      <c r="H413" s="341">
        <v>0</v>
      </c>
      <c r="I413" s="341">
        <v>0</v>
      </c>
      <c r="J413" s="341">
        <v>0</v>
      </c>
      <c r="K413" s="341">
        <v>0</v>
      </c>
      <c r="L413" s="341">
        <v>0</v>
      </c>
      <c r="M413" s="341">
        <v>0</v>
      </c>
      <c r="N413" s="341">
        <v>0</v>
      </c>
      <c r="O413" s="82"/>
      <c r="P413" s="86"/>
    </row>
    <row r="414" spans="1:16">
      <c r="A414" s="100"/>
      <c r="B414" s="85"/>
      <c r="C414" s="100" t="s">
        <v>93</v>
      </c>
      <c r="D414" s="341">
        <v>0</v>
      </c>
      <c r="E414" s="341">
        <v>0</v>
      </c>
      <c r="F414" s="341">
        <v>0</v>
      </c>
      <c r="G414" s="341">
        <v>0</v>
      </c>
      <c r="H414" s="341">
        <v>0</v>
      </c>
      <c r="I414" s="341">
        <v>0</v>
      </c>
      <c r="J414" s="341">
        <v>0</v>
      </c>
      <c r="K414" s="341">
        <v>0</v>
      </c>
      <c r="L414" s="341">
        <v>0</v>
      </c>
      <c r="M414" s="341">
        <v>0</v>
      </c>
      <c r="N414" s="341">
        <v>0</v>
      </c>
      <c r="O414" s="82"/>
      <c r="P414" s="86"/>
    </row>
    <row r="415" spans="1:16">
      <c r="A415" s="100"/>
      <c r="B415" s="85"/>
      <c r="C415" s="100" t="s">
        <v>97</v>
      </c>
      <c r="D415" s="341">
        <v>0</v>
      </c>
      <c r="E415" s="341">
        <v>0</v>
      </c>
      <c r="F415" s="341">
        <v>0</v>
      </c>
      <c r="G415" s="341">
        <v>0</v>
      </c>
      <c r="H415" s="341">
        <v>0</v>
      </c>
      <c r="I415" s="341">
        <v>0</v>
      </c>
      <c r="J415" s="341">
        <v>0</v>
      </c>
      <c r="K415" s="341">
        <v>0</v>
      </c>
      <c r="L415" s="341">
        <v>0</v>
      </c>
      <c r="M415" s="341">
        <v>0</v>
      </c>
      <c r="N415" s="341">
        <v>0</v>
      </c>
      <c r="O415" s="82"/>
      <c r="P415" s="86"/>
    </row>
    <row r="416" spans="1:16">
      <c r="A416" s="100"/>
      <c r="B416" s="85"/>
      <c r="C416" s="4" t="s">
        <v>136</v>
      </c>
      <c r="D416" s="341">
        <v>0</v>
      </c>
      <c r="E416" s="341">
        <v>0</v>
      </c>
      <c r="F416" s="341">
        <v>0</v>
      </c>
      <c r="G416" s="341">
        <v>0</v>
      </c>
      <c r="H416" s="341">
        <v>0</v>
      </c>
      <c r="I416" s="341">
        <v>0</v>
      </c>
      <c r="J416" s="341">
        <v>0</v>
      </c>
      <c r="K416" s="341">
        <v>0</v>
      </c>
      <c r="L416" s="341">
        <v>0</v>
      </c>
      <c r="M416" s="341">
        <v>0</v>
      </c>
      <c r="N416" s="341">
        <v>0</v>
      </c>
      <c r="O416" s="82"/>
      <c r="P416" s="86"/>
    </row>
    <row r="417" spans="1:16">
      <c r="A417" s="100"/>
      <c r="B417" s="85" t="s">
        <v>164</v>
      </c>
      <c r="C417" s="100" t="s">
        <v>102</v>
      </c>
      <c r="D417" s="341">
        <v>0</v>
      </c>
      <c r="E417" s="341">
        <v>0</v>
      </c>
      <c r="F417" s="341">
        <v>0</v>
      </c>
      <c r="G417" s="341">
        <v>0</v>
      </c>
      <c r="H417" s="341">
        <v>0</v>
      </c>
      <c r="I417" s="341">
        <v>0</v>
      </c>
      <c r="J417" s="341">
        <v>0</v>
      </c>
      <c r="K417" s="341">
        <v>0</v>
      </c>
      <c r="L417" s="341">
        <v>0</v>
      </c>
      <c r="M417" s="341">
        <v>0</v>
      </c>
      <c r="N417" s="341">
        <v>0</v>
      </c>
      <c r="O417" s="82"/>
      <c r="P417" s="86"/>
    </row>
    <row r="418" spans="1:16">
      <c r="A418" s="100"/>
      <c r="B418" s="85"/>
      <c r="C418" s="100" t="s">
        <v>98</v>
      </c>
      <c r="D418" s="341">
        <v>0</v>
      </c>
      <c r="E418" s="341">
        <v>0</v>
      </c>
      <c r="F418" s="341">
        <v>0</v>
      </c>
      <c r="G418" s="341">
        <v>0</v>
      </c>
      <c r="H418" s="341">
        <v>0</v>
      </c>
      <c r="I418" s="341">
        <v>0</v>
      </c>
      <c r="J418" s="341">
        <v>0</v>
      </c>
      <c r="K418" s="341">
        <v>0</v>
      </c>
      <c r="L418" s="341">
        <v>0</v>
      </c>
      <c r="M418" s="341">
        <v>0</v>
      </c>
      <c r="N418" s="341">
        <v>0</v>
      </c>
      <c r="O418" s="82"/>
      <c r="P418" s="86"/>
    </row>
    <row r="419" spans="1:16">
      <c r="A419" s="100"/>
      <c r="B419" s="85"/>
      <c r="C419" s="100" t="s">
        <v>99</v>
      </c>
      <c r="D419" s="341">
        <v>0</v>
      </c>
      <c r="E419" s="341">
        <v>0</v>
      </c>
      <c r="F419" s="341">
        <v>0</v>
      </c>
      <c r="G419" s="341">
        <v>0</v>
      </c>
      <c r="H419" s="341">
        <v>0</v>
      </c>
      <c r="I419" s="341">
        <v>0</v>
      </c>
      <c r="J419" s="341">
        <v>0</v>
      </c>
      <c r="K419" s="341">
        <v>0</v>
      </c>
      <c r="L419" s="341">
        <v>0</v>
      </c>
      <c r="M419" s="341">
        <v>0</v>
      </c>
      <c r="N419" s="341">
        <v>0</v>
      </c>
      <c r="O419" s="82"/>
      <c r="P419" s="86"/>
    </row>
    <row r="420" spans="1:16">
      <c r="A420" s="100"/>
      <c r="B420" s="85"/>
      <c r="C420" s="100" t="s">
        <v>83</v>
      </c>
      <c r="D420" s="341">
        <v>0</v>
      </c>
      <c r="E420" s="341">
        <v>0</v>
      </c>
      <c r="F420" s="341">
        <v>0</v>
      </c>
      <c r="G420" s="341">
        <v>0</v>
      </c>
      <c r="H420" s="341">
        <v>0</v>
      </c>
      <c r="I420" s="341">
        <v>0</v>
      </c>
      <c r="J420" s="341">
        <v>0</v>
      </c>
      <c r="K420" s="341">
        <v>0</v>
      </c>
      <c r="L420" s="341">
        <v>0</v>
      </c>
      <c r="M420" s="341">
        <v>0</v>
      </c>
      <c r="N420" s="341">
        <v>0</v>
      </c>
      <c r="O420" s="82"/>
      <c r="P420" s="86"/>
    </row>
    <row r="421" spans="1:16">
      <c r="A421" s="100"/>
      <c r="B421" s="85"/>
      <c r="C421" s="100" t="s">
        <v>84</v>
      </c>
      <c r="D421" s="341">
        <v>0</v>
      </c>
      <c r="E421" s="341">
        <v>0</v>
      </c>
      <c r="F421" s="341">
        <v>0</v>
      </c>
      <c r="G421" s="341">
        <v>0</v>
      </c>
      <c r="H421" s="341">
        <v>0</v>
      </c>
      <c r="I421" s="341">
        <v>0</v>
      </c>
      <c r="J421" s="341">
        <v>0</v>
      </c>
      <c r="K421" s="341">
        <v>0</v>
      </c>
      <c r="L421" s="341">
        <v>0</v>
      </c>
      <c r="M421" s="341">
        <v>0</v>
      </c>
      <c r="N421" s="341">
        <v>0</v>
      </c>
      <c r="O421" s="82"/>
      <c r="P421" s="86"/>
    </row>
    <row r="422" spans="1:16">
      <c r="A422" s="100"/>
      <c r="B422" s="85"/>
      <c r="C422" s="100" t="s">
        <v>85</v>
      </c>
      <c r="D422" s="341">
        <v>0</v>
      </c>
      <c r="E422" s="341">
        <v>0</v>
      </c>
      <c r="F422" s="341">
        <v>0</v>
      </c>
      <c r="G422" s="341">
        <v>0</v>
      </c>
      <c r="H422" s="341">
        <v>0</v>
      </c>
      <c r="I422" s="341">
        <v>0</v>
      </c>
      <c r="J422" s="341">
        <v>0</v>
      </c>
      <c r="K422" s="341">
        <v>0</v>
      </c>
      <c r="L422" s="341">
        <v>0</v>
      </c>
      <c r="M422" s="341">
        <v>0</v>
      </c>
      <c r="N422" s="341">
        <v>0</v>
      </c>
      <c r="O422" s="82"/>
      <c r="P422" s="86"/>
    </row>
    <row r="423" spans="1:16">
      <c r="A423" s="100"/>
      <c r="B423" s="85"/>
      <c r="C423" s="100" t="s">
        <v>86</v>
      </c>
      <c r="D423" s="341">
        <v>0</v>
      </c>
      <c r="E423" s="341">
        <v>0</v>
      </c>
      <c r="F423" s="341">
        <v>0</v>
      </c>
      <c r="G423" s="341">
        <v>0</v>
      </c>
      <c r="H423" s="341">
        <v>0</v>
      </c>
      <c r="I423" s="341">
        <v>0</v>
      </c>
      <c r="J423" s="341">
        <v>0</v>
      </c>
      <c r="K423" s="341">
        <v>0</v>
      </c>
      <c r="L423" s="341">
        <v>0</v>
      </c>
      <c r="M423" s="341">
        <v>0</v>
      </c>
      <c r="N423" s="341">
        <v>0</v>
      </c>
      <c r="O423" s="82"/>
      <c r="P423" s="86"/>
    </row>
    <row r="424" spans="1:16">
      <c r="A424" s="100"/>
      <c r="B424" s="85"/>
      <c r="C424" s="100" t="s">
        <v>87</v>
      </c>
      <c r="D424" s="341">
        <v>0</v>
      </c>
      <c r="E424" s="341">
        <v>0</v>
      </c>
      <c r="F424" s="341">
        <v>0</v>
      </c>
      <c r="G424" s="341">
        <v>0</v>
      </c>
      <c r="H424" s="341">
        <v>0</v>
      </c>
      <c r="I424" s="341">
        <v>0</v>
      </c>
      <c r="J424" s="341">
        <v>0</v>
      </c>
      <c r="K424" s="341">
        <v>0</v>
      </c>
      <c r="L424" s="341">
        <v>0</v>
      </c>
      <c r="M424" s="341">
        <v>0</v>
      </c>
      <c r="N424" s="341">
        <v>0</v>
      </c>
      <c r="O424" s="82"/>
      <c r="P424" s="86"/>
    </row>
    <row r="425" spans="1:16">
      <c r="A425" s="100"/>
      <c r="B425" s="85"/>
      <c r="C425" s="100" t="s">
        <v>88</v>
      </c>
      <c r="D425" s="341">
        <v>0</v>
      </c>
      <c r="E425" s="341">
        <v>0</v>
      </c>
      <c r="F425" s="341">
        <v>0</v>
      </c>
      <c r="G425" s="341">
        <v>0</v>
      </c>
      <c r="H425" s="341">
        <v>0</v>
      </c>
      <c r="I425" s="341">
        <v>0</v>
      </c>
      <c r="J425" s="341">
        <v>0</v>
      </c>
      <c r="K425" s="341">
        <v>0</v>
      </c>
      <c r="L425" s="341">
        <v>0</v>
      </c>
      <c r="M425" s="341">
        <v>0</v>
      </c>
      <c r="N425" s="341">
        <v>0</v>
      </c>
      <c r="O425" s="82"/>
      <c r="P425" s="86"/>
    </row>
    <row r="426" spans="1:16">
      <c r="A426" s="100"/>
      <c r="B426" s="85"/>
      <c r="C426" s="100" t="s">
        <v>89</v>
      </c>
      <c r="D426" s="341">
        <v>0</v>
      </c>
      <c r="E426" s="341">
        <v>0</v>
      </c>
      <c r="F426" s="341">
        <v>0</v>
      </c>
      <c r="G426" s="341">
        <v>0</v>
      </c>
      <c r="H426" s="341">
        <v>0</v>
      </c>
      <c r="I426" s="341">
        <v>0</v>
      </c>
      <c r="J426" s="341">
        <v>0</v>
      </c>
      <c r="K426" s="341">
        <v>0</v>
      </c>
      <c r="L426" s="341">
        <v>0</v>
      </c>
      <c r="M426" s="341">
        <v>0</v>
      </c>
      <c r="N426" s="341">
        <v>0</v>
      </c>
      <c r="O426" s="82"/>
      <c r="P426" s="86"/>
    </row>
    <row r="427" spans="1:16">
      <c r="A427" s="100"/>
      <c r="B427" s="85"/>
      <c r="C427" s="100" t="s">
        <v>90</v>
      </c>
      <c r="D427" s="341">
        <v>0</v>
      </c>
      <c r="E427" s="341">
        <v>0</v>
      </c>
      <c r="F427" s="341">
        <v>0</v>
      </c>
      <c r="G427" s="341">
        <v>0</v>
      </c>
      <c r="H427" s="341">
        <v>0</v>
      </c>
      <c r="I427" s="341">
        <v>0</v>
      </c>
      <c r="J427" s="341">
        <v>0</v>
      </c>
      <c r="K427" s="341">
        <v>0</v>
      </c>
      <c r="L427" s="341">
        <v>0</v>
      </c>
      <c r="M427" s="341">
        <v>0</v>
      </c>
      <c r="N427" s="341">
        <v>0</v>
      </c>
      <c r="O427" s="82"/>
      <c r="P427" s="86"/>
    </row>
    <row r="428" spans="1:16">
      <c r="A428" s="100"/>
      <c r="B428" s="85"/>
      <c r="C428" s="100" t="s">
        <v>91</v>
      </c>
      <c r="D428" s="341">
        <v>0</v>
      </c>
      <c r="E428" s="341">
        <v>0</v>
      </c>
      <c r="F428" s="341">
        <v>0</v>
      </c>
      <c r="G428" s="341">
        <v>0</v>
      </c>
      <c r="H428" s="341">
        <v>0</v>
      </c>
      <c r="I428" s="341">
        <v>0</v>
      </c>
      <c r="J428" s="341">
        <v>0</v>
      </c>
      <c r="K428" s="341">
        <v>0</v>
      </c>
      <c r="L428" s="341">
        <v>0</v>
      </c>
      <c r="M428" s="341">
        <v>0</v>
      </c>
      <c r="N428" s="341">
        <v>0</v>
      </c>
      <c r="O428" s="82"/>
      <c r="P428" s="86"/>
    </row>
    <row r="429" spans="1:16">
      <c r="A429" s="100"/>
      <c r="B429" s="85"/>
      <c r="C429" s="100" t="s">
        <v>92</v>
      </c>
      <c r="D429" s="341">
        <v>0</v>
      </c>
      <c r="E429" s="341">
        <v>0</v>
      </c>
      <c r="F429" s="341">
        <v>0</v>
      </c>
      <c r="G429" s="341">
        <v>0</v>
      </c>
      <c r="H429" s="341">
        <v>0</v>
      </c>
      <c r="I429" s="341">
        <v>0</v>
      </c>
      <c r="J429" s="341">
        <v>0</v>
      </c>
      <c r="K429" s="341">
        <v>0</v>
      </c>
      <c r="L429" s="341">
        <v>0</v>
      </c>
      <c r="M429" s="341">
        <v>0</v>
      </c>
      <c r="N429" s="341">
        <v>0</v>
      </c>
      <c r="O429" s="82"/>
      <c r="P429" s="86"/>
    </row>
    <row r="430" spans="1:16">
      <c r="A430" s="100"/>
      <c r="B430" s="85"/>
      <c r="C430" s="100" t="s">
        <v>95</v>
      </c>
      <c r="D430" s="341">
        <v>0</v>
      </c>
      <c r="E430" s="341">
        <v>0</v>
      </c>
      <c r="F430" s="341">
        <v>0</v>
      </c>
      <c r="G430" s="341">
        <v>0</v>
      </c>
      <c r="H430" s="341">
        <v>0</v>
      </c>
      <c r="I430" s="341">
        <v>0</v>
      </c>
      <c r="J430" s="341">
        <v>0</v>
      </c>
      <c r="K430" s="341">
        <v>0</v>
      </c>
      <c r="L430" s="341">
        <v>0</v>
      </c>
      <c r="M430" s="341">
        <v>0</v>
      </c>
      <c r="N430" s="341">
        <v>0</v>
      </c>
      <c r="O430" s="82"/>
      <c r="P430" s="86"/>
    </row>
    <row r="431" spans="1:16">
      <c r="A431" s="100"/>
      <c r="B431" s="85"/>
      <c r="C431" s="100" t="s">
        <v>96</v>
      </c>
      <c r="D431" s="341">
        <v>0</v>
      </c>
      <c r="E431" s="341">
        <v>0</v>
      </c>
      <c r="F431" s="341">
        <v>0</v>
      </c>
      <c r="G431" s="341">
        <v>0</v>
      </c>
      <c r="H431" s="341">
        <v>0</v>
      </c>
      <c r="I431" s="341">
        <v>0</v>
      </c>
      <c r="J431" s="341">
        <v>0</v>
      </c>
      <c r="K431" s="341">
        <v>0</v>
      </c>
      <c r="L431" s="341">
        <v>0</v>
      </c>
      <c r="M431" s="341">
        <v>0</v>
      </c>
      <c r="N431" s="341">
        <v>0</v>
      </c>
      <c r="O431" s="82"/>
      <c r="P431" s="86"/>
    </row>
    <row r="432" spans="1:16">
      <c r="A432" s="100"/>
      <c r="B432" s="85"/>
      <c r="C432" s="100" t="s">
        <v>93</v>
      </c>
      <c r="D432" s="341">
        <v>0</v>
      </c>
      <c r="E432" s="341">
        <v>0</v>
      </c>
      <c r="F432" s="341">
        <v>0</v>
      </c>
      <c r="G432" s="341">
        <v>0</v>
      </c>
      <c r="H432" s="341">
        <v>0</v>
      </c>
      <c r="I432" s="341">
        <v>0</v>
      </c>
      <c r="J432" s="341">
        <v>0</v>
      </c>
      <c r="K432" s="341">
        <v>0</v>
      </c>
      <c r="L432" s="341">
        <v>0</v>
      </c>
      <c r="M432" s="341">
        <v>0</v>
      </c>
      <c r="N432" s="341">
        <v>0</v>
      </c>
      <c r="O432" s="82"/>
      <c r="P432" s="86"/>
    </row>
    <row r="433" spans="1:16">
      <c r="A433" s="100"/>
      <c r="B433" s="85"/>
      <c r="C433" s="100" t="s">
        <v>97</v>
      </c>
      <c r="D433" s="341">
        <v>0</v>
      </c>
      <c r="E433" s="341">
        <v>0</v>
      </c>
      <c r="F433" s="341">
        <v>0</v>
      </c>
      <c r="G433" s="341">
        <v>0</v>
      </c>
      <c r="H433" s="341">
        <v>0</v>
      </c>
      <c r="I433" s="341">
        <v>0</v>
      </c>
      <c r="J433" s="341">
        <v>0</v>
      </c>
      <c r="K433" s="341">
        <v>0</v>
      </c>
      <c r="L433" s="341">
        <v>0</v>
      </c>
      <c r="M433" s="341">
        <v>0</v>
      </c>
      <c r="N433" s="341">
        <v>0</v>
      </c>
      <c r="O433" s="82"/>
      <c r="P433" s="86"/>
    </row>
    <row r="434" spans="1:16">
      <c r="A434" s="100"/>
      <c r="B434" s="85"/>
      <c r="C434" s="4" t="s">
        <v>136</v>
      </c>
      <c r="D434" s="341">
        <v>0</v>
      </c>
      <c r="E434" s="341">
        <v>0</v>
      </c>
      <c r="F434" s="341">
        <v>0</v>
      </c>
      <c r="G434" s="341">
        <v>0</v>
      </c>
      <c r="H434" s="341">
        <v>0</v>
      </c>
      <c r="I434" s="341">
        <v>0</v>
      </c>
      <c r="J434" s="341">
        <v>0</v>
      </c>
      <c r="K434" s="341">
        <v>0</v>
      </c>
      <c r="L434" s="341">
        <v>0</v>
      </c>
      <c r="M434" s="341">
        <v>0</v>
      </c>
      <c r="N434" s="341">
        <v>0</v>
      </c>
      <c r="O434" s="82"/>
      <c r="P434" s="86"/>
    </row>
    <row r="435" spans="1:16">
      <c r="A435" s="100"/>
      <c r="B435" s="85" t="s">
        <v>165</v>
      </c>
      <c r="C435" s="100" t="s">
        <v>102</v>
      </c>
      <c r="D435" s="341">
        <v>0</v>
      </c>
      <c r="E435" s="341">
        <v>0</v>
      </c>
      <c r="F435" s="341">
        <v>0</v>
      </c>
      <c r="G435" s="341">
        <v>0</v>
      </c>
      <c r="H435" s="341">
        <v>0</v>
      </c>
      <c r="I435" s="341">
        <v>0</v>
      </c>
      <c r="J435" s="341">
        <v>0</v>
      </c>
      <c r="K435" s="341">
        <v>0</v>
      </c>
      <c r="L435" s="341">
        <v>0</v>
      </c>
      <c r="M435" s="341">
        <v>0</v>
      </c>
      <c r="N435" s="341">
        <v>0</v>
      </c>
      <c r="O435" s="82"/>
      <c r="P435" s="86"/>
    </row>
    <row r="436" spans="1:16">
      <c r="A436" s="100"/>
      <c r="B436" s="85"/>
      <c r="C436" s="100" t="s">
        <v>98</v>
      </c>
      <c r="D436" s="341">
        <v>0</v>
      </c>
      <c r="E436" s="341">
        <v>0</v>
      </c>
      <c r="F436" s="341">
        <v>0</v>
      </c>
      <c r="G436" s="341">
        <v>0</v>
      </c>
      <c r="H436" s="341">
        <v>0</v>
      </c>
      <c r="I436" s="341">
        <v>0</v>
      </c>
      <c r="J436" s="341">
        <v>0</v>
      </c>
      <c r="K436" s="341">
        <v>0</v>
      </c>
      <c r="L436" s="341">
        <v>0</v>
      </c>
      <c r="M436" s="341">
        <v>0</v>
      </c>
      <c r="N436" s="341">
        <v>0</v>
      </c>
      <c r="O436" s="82"/>
      <c r="P436" s="86"/>
    </row>
    <row r="437" spans="1:16">
      <c r="A437" s="100"/>
      <c r="B437" s="85"/>
      <c r="C437" s="100" t="s">
        <v>99</v>
      </c>
      <c r="D437" s="341">
        <v>0</v>
      </c>
      <c r="E437" s="341">
        <v>0</v>
      </c>
      <c r="F437" s="341">
        <v>0</v>
      </c>
      <c r="G437" s="341">
        <v>0</v>
      </c>
      <c r="H437" s="341">
        <v>0</v>
      </c>
      <c r="I437" s="341">
        <v>0</v>
      </c>
      <c r="J437" s="341">
        <v>0</v>
      </c>
      <c r="K437" s="341">
        <v>0</v>
      </c>
      <c r="L437" s="341">
        <v>0</v>
      </c>
      <c r="M437" s="341">
        <v>0</v>
      </c>
      <c r="N437" s="341">
        <v>0</v>
      </c>
      <c r="O437" s="82"/>
      <c r="P437" s="86"/>
    </row>
    <row r="438" spans="1:16">
      <c r="A438" s="100"/>
      <c r="B438" s="85"/>
      <c r="C438" s="100" t="s">
        <v>83</v>
      </c>
      <c r="D438" s="341">
        <v>0</v>
      </c>
      <c r="E438" s="341">
        <v>1</v>
      </c>
      <c r="F438" s="341">
        <v>0</v>
      </c>
      <c r="G438" s="341">
        <v>0</v>
      </c>
      <c r="H438" s="341">
        <v>0</v>
      </c>
      <c r="I438" s="341">
        <v>0</v>
      </c>
      <c r="J438" s="341">
        <v>0</v>
      </c>
      <c r="K438" s="341">
        <v>0</v>
      </c>
      <c r="L438" s="341">
        <v>0</v>
      </c>
      <c r="M438" s="341">
        <v>0</v>
      </c>
      <c r="N438" s="341">
        <v>0</v>
      </c>
      <c r="O438" s="82"/>
      <c r="P438" s="86"/>
    </row>
    <row r="439" spans="1:16">
      <c r="A439" s="100"/>
      <c r="B439" s="85"/>
      <c r="C439" s="100" t="s">
        <v>84</v>
      </c>
      <c r="D439" s="341">
        <v>1</v>
      </c>
      <c r="E439" s="341">
        <v>0</v>
      </c>
      <c r="F439" s="341">
        <v>0</v>
      </c>
      <c r="G439" s="341">
        <v>0</v>
      </c>
      <c r="H439" s="341">
        <v>0</v>
      </c>
      <c r="I439" s="341">
        <v>0</v>
      </c>
      <c r="J439" s="341">
        <v>0</v>
      </c>
      <c r="K439" s="341">
        <v>0</v>
      </c>
      <c r="L439" s="341">
        <v>0</v>
      </c>
      <c r="M439" s="341">
        <v>0</v>
      </c>
      <c r="N439" s="341">
        <v>0</v>
      </c>
      <c r="O439" s="82"/>
      <c r="P439" s="86"/>
    </row>
    <row r="440" spans="1:16">
      <c r="A440" s="100"/>
      <c r="B440" s="85"/>
      <c r="C440" s="100" t="s">
        <v>85</v>
      </c>
      <c r="D440" s="341">
        <v>1</v>
      </c>
      <c r="E440" s="341">
        <v>1</v>
      </c>
      <c r="F440" s="341">
        <v>0</v>
      </c>
      <c r="G440" s="341">
        <v>0</v>
      </c>
      <c r="H440" s="341">
        <v>0</v>
      </c>
      <c r="I440" s="341">
        <v>0</v>
      </c>
      <c r="J440" s="341">
        <v>0</v>
      </c>
      <c r="K440" s="341">
        <v>0</v>
      </c>
      <c r="L440" s="341">
        <v>0</v>
      </c>
      <c r="M440" s="341">
        <v>0</v>
      </c>
      <c r="N440" s="341">
        <v>0</v>
      </c>
      <c r="O440" s="82"/>
      <c r="P440" s="86"/>
    </row>
    <row r="441" spans="1:16">
      <c r="A441" s="100"/>
      <c r="B441" s="85"/>
      <c r="C441" s="100" t="s">
        <v>86</v>
      </c>
      <c r="D441" s="341">
        <v>2</v>
      </c>
      <c r="E441" s="341">
        <v>0</v>
      </c>
      <c r="F441" s="341">
        <v>1</v>
      </c>
      <c r="G441" s="341">
        <v>0</v>
      </c>
      <c r="H441" s="341">
        <v>0</v>
      </c>
      <c r="I441" s="341">
        <v>0</v>
      </c>
      <c r="J441" s="341">
        <v>0</v>
      </c>
      <c r="K441" s="341">
        <v>0</v>
      </c>
      <c r="L441" s="341">
        <v>0</v>
      </c>
      <c r="M441" s="341">
        <v>0</v>
      </c>
      <c r="N441" s="341">
        <v>0</v>
      </c>
      <c r="O441" s="82"/>
      <c r="P441" s="86"/>
    </row>
    <row r="442" spans="1:16">
      <c r="A442" s="100"/>
      <c r="B442" s="85"/>
      <c r="C442" s="100" t="s">
        <v>87</v>
      </c>
      <c r="D442" s="341">
        <v>9</v>
      </c>
      <c r="E442" s="341">
        <v>1</v>
      </c>
      <c r="F442" s="341">
        <v>0</v>
      </c>
      <c r="G442" s="341">
        <v>0</v>
      </c>
      <c r="H442" s="341">
        <v>0</v>
      </c>
      <c r="I442" s="341">
        <v>0</v>
      </c>
      <c r="J442" s="341">
        <v>0</v>
      </c>
      <c r="K442" s="341">
        <v>0</v>
      </c>
      <c r="L442" s="341">
        <v>0</v>
      </c>
      <c r="M442" s="341">
        <v>0</v>
      </c>
      <c r="N442" s="341">
        <v>0</v>
      </c>
      <c r="O442" s="82"/>
      <c r="P442" s="86"/>
    </row>
    <row r="443" spans="1:16">
      <c r="A443" s="100"/>
      <c r="B443" s="85"/>
      <c r="C443" s="100" t="s">
        <v>88</v>
      </c>
      <c r="D443" s="341">
        <v>4</v>
      </c>
      <c r="E443" s="341">
        <v>7</v>
      </c>
      <c r="F443" s="341">
        <v>1</v>
      </c>
      <c r="G443" s="341">
        <v>0</v>
      </c>
      <c r="H443" s="341">
        <v>0</v>
      </c>
      <c r="I443" s="341">
        <v>0</v>
      </c>
      <c r="J443" s="341">
        <v>0</v>
      </c>
      <c r="K443" s="341">
        <v>0</v>
      </c>
      <c r="L443" s="341">
        <v>0</v>
      </c>
      <c r="M443" s="341">
        <v>0</v>
      </c>
      <c r="N443" s="341">
        <v>0</v>
      </c>
      <c r="O443" s="82"/>
      <c r="P443" s="86"/>
    </row>
    <row r="444" spans="1:16">
      <c r="A444" s="100"/>
      <c r="B444" s="85"/>
      <c r="C444" s="100" t="s">
        <v>89</v>
      </c>
      <c r="D444" s="341">
        <v>3</v>
      </c>
      <c r="E444" s="341">
        <v>2</v>
      </c>
      <c r="F444" s="341">
        <v>2</v>
      </c>
      <c r="G444" s="341">
        <v>1</v>
      </c>
      <c r="H444" s="341">
        <v>0</v>
      </c>
      <c r="I444" s="341">
        <v>0</v>
      </c>
      <c r="J444" s="341">
        <v>0</v>
      </c>
      <c r="K444" s="341">
        <v>0</v>
      </c>
      <c r="L444" s="341">
        <v>0</v>
      </c>
      <c r="M444" s="341">
        <v>0</v>
      </c>
      <c r="N444" s="341">
        <v>0</v>
      </c>
      <c r="O444" s="82"/>
      <c r="P444" s="86"/>
    </row>
    <row r="445" spans="1:16">
      <c r="A445" s="100"/>
      <c r="B445" s="85"/>
      <c r="C445" s="100" t="s">
        <v>90</v>
      </c>
      <c r="D445" s="341">
        <v>2</v>
      </c>
      <c r="E445" s="341">
        <v>2</v>
      </c>
      <c r="F445" s="341">
        <v>1</v>
      </c>
      <c r="G445" s="341">
        <v>1</v>
      </c>
      <c r="H445" s="341">
        <v>0</v>
      </c>
      <c r="I445" s="341">
        <v>0</v>
      </c>
      <c r="J445" s="341">
        <v>0</v>
      </c>
      <c r="K445" s="341">
        <v>0</v>
      </c>
      <c r="L445" s="341">
        <v>0</v>
      </c>
      <c r="M445" s="341">
        <v>0</v>
      </c>
      <c r="N445" s="341">
        <v>0</v>
      </c>
      <c r="O445" s="82"/>
      <c r="P445" s="86"/>
    </row>
    <row r="446" spans="1:16">
      <c r="A446" s="100"/>
      <c r="B446" s="85"/>
      <c r="C446" s="100" t="s">
        <v>91</v>
      </c>
      <c r="D446" s="341">
        <v>1</v>
      </c>
      <c r="E446" s="341">
        <v>1</v>
      </c>
      <c r="F446" s="341">
        <v>1</v>
      </c>
      <c r="G446" s="341">
        <v>2</v>
      </c>
      <c r="H446" s="341">
        <v>1</v>
      </c>
      <c r="I446" s="341">
        <v>0</v>
      </c>
      <c r="J446" s="341">
        <v>0</v>
      </c>
      <c r="K446" s="341">
        <v>0</v>
      </c>
      <c r="L446" s="341">
        <v>0</v>
      </c>
      <c r="M446" s="341">
        <v>0</v>
      </c>
      <c r="N446" s="341">
        <v>0</v>
      </c>
      <c r="O446" s="82"/>
      <c r="P446" s="86"/>
    </row>
    <row r="447" spans="1:16">
      <c r="A447" s="100"/>
      <c r="B447" s="85"/>
      <c r="C447" s="100" t="s">
        <v>92</v>
      </c>
      <c r="D447" s="341">
        <v>1</v>
      </c>
      <c r="E447" s="341">
        <v>1</v>
      </c>
      <c r="F447" s="341">
        <v>1</v>
      </c>
      <c r="G447" s="341">
        <v>1</v>
      </c>
      <c r="H447" s="341">
        <v>0</v>
      </c>
      <c r="I447" s="341">
        <v>0</v>
      </c>
      <c r="J447" s="341">
        <v>0</v>
      </c>
      <c r="K447" s="341">
        <v>0</v>
      </c>
      <c r="L447" s="341">
        <v>0</v>
      </c>
      <c r="M447" s="341">
        <v>0</v>
      </c>
      <c r="N447" s="341">
        <v>0</v>
      </c>
      <c r="O447" s="82"/>
      <c r="P447" s="86"/>
    </row>
    <row r="448" spans="1:16">
      <c r="A448" s="100"/>
      <c r="B448" s="85"/>
      <c r="C448" s="100" t="s">
        <v>95</v>
      </c>
      <c r="D448" s="341">
        <v>1</v>
      </c>
      <c r="E448" s="341">
        <v>1</v>
      </c>
      <c r="F448" s="341">
        <v>1</v>
      </c>
      <c r="G448" s="341">
        <v>0</v>
      </c>
      <c r="H448" s="341">
        <v>0</v>
      </c>
      <c r="I448" s="341">
        <v>1</v>
      </c>
      <c r="J448" s="341">
        <v>0</v>
      </c>
      <c r="K448" s="341">
        <v>0</v>
      </c>
      <c r="L448" s="341">
        <v>0</v>
      </c>
      <c r="M448" s="341">
        <v>0</v>
      </c>
      <c r="N448" s="341">
        <v>0</v>
      </c>
      <c r="O448" s="82"/>
      <c r="P448" s="86"/>
    </row>
    <row r="449" spans="1:16">
      <c r="A449" s="100"/>
      <c r="B449" s="85"/>
      <c r="C449" s="100" t="s">
        <v>96</v>
      </c>
      <c r="D449" s="341">
        <v>1</v>
      </c>
      <c r="E449" s="341">
        <v>0</v>
      </c>
      <c r="F449" s="341">
        <v>1</v>
      </c>
      <c r="G449" s="341">
        <v>0</v>
      </c>
      <c r="H449" s="341">
        <v>0</v>
      </c>
      <c r="I449" s="341">
        <v>0</v>
      </c>
      <c r="J449" s="341">
        <v>0</v>
      </c>
      <c r="K449" s="341">
        <v>0</v>
      </c>
      <c r="L449" s="341">
        <v>0</v>
      </c>
      <c r="M449" s="341">
        <v>0</v>
      </c>
      <c r="N449" s="341">
        <v>0</v>
      </c>
      <c r="O449" s="82"/>
      <c r="P449" s="86"/>
    </row>
    <row r="450" spans="1:16">
      <c r="A450" s="100"/>
      <c r="B450" s="85"/>
      <c r="C450" s="100" t="s">
        <v>93</v>
      </c>
      <c r="D450" s="341">
        <v>0</v>
      </c>
      <c r="E450" s="341">
        <v>1</v>
      </c>
      <c r="F450" s="341">
        <v>0</v>
      </c>
      <c r="G450" s="341">
        <v>0</v>
      </c>
      <c r="H450" s="341">
        <v>0</v>
      </c>
      <c r="I450" s="341">
        <v>0</v>
      </c>
      <c r="J450" s="341">
        <v>0</v>
      </c>
      <c r="K450" s="341">
        <v>0</v>
      </c>
      <c r="L450" s="341">
        <v>0</v>
      </c>
      <c r="M450" s="341">
        <v>0</v>
      </c>
      <c r="N450" s="341">
        <v>0</v>
      </c>
      <c r="O450" s="82"/>
      <c r="P450" s="86"/>
    </row>
    <row r="451" spans="1:16">
      <c r="A451" s="100"/>
      <c r="B451" s="85"/>
      <c r="C451" s="100" t="s">
        <v>97</v>
      </c>
      <c r="D451" s="341">
        <v>1</v>
      </c>
      <c r="E451" s="341">
        <v>0</v>
      </c>
      <c r="F451" s="341">
        <v>0</v>
      </c>
      <c r="G451" s="341">
        <v>0</v>
      </c>
      <c r="H451" s="341">
        <v>1</v>
      </c>
      <c r="I451" s="341">
        <v>0</v>
      </c>
      <c r="J451" s="341">
        <v>0</v>
      </c>
      <c r="K451" s="341">
        <v>0</v>
      </c>
      <c r="L451" s="341">
        <v>0</v>
      </c>
      <c r="M451" s="341">
        <v>0</v>
      </c>
      <c r="N451" s="341">
        <v>0</v>
      </c>
      <c r="O451" s="82"/>
      <c r="P451" s="86"/>
    </row>
    <row r="452" spans="1:16">
      <c r="A452" s="100"/>
      <c r="B452" s="85"/>
      <c r="C452" s="4" t="s">
        <v>136</v>
      </c>
      <c r="D452" s="341">
        <v>1</v>
      </c>
      <c r="E452" s="341">
        <v>0</v>
      </c>
      <c r="F452" s="341">
        <v>1</v>
      </c>
      <c r="G452" s="341">
        <v>0</v>
      </c>
      <c r="H452" s="341">
        <v>0</v>
      </c>
      <c r="I452" s="341">
        <v>0</v>
      </c>
      <c r="J452" s="341">
        <v>0</v>
      </c>
      <c r="K452" s="341">
        <v>0</v>
      </c>
      <c r="L452" s="341">
        <v>0</v>
      </c>
      <c r="M452" s="341">
        <v>0</v>
      </c>
      <c r="N452" s="341">
        <v>0</v>
      </c>
      <c r="O452" s="82"/>
      <c r="P452" s="86"/>
    </row>
    <row r="453" spans="1:16">
      <c r="A453" s="100"/>
      <c r="B453" s="85" t="s">
        <v>166</v>
      </c>
      <c r="C453" s="100" t="s">
        <v>102</v>
      </c>
      <c r="D453" s="341">
        <v>0</v>
      </c>
      <c r="E453" s="341">
        <v>0</v>
      </c>
      <c r="F453" s="341">
        <v>0</v>
      </c>
      <c r="G453" s="341">
        <v>0</v>
      </c>
      <c r="H453" s="341">
        <v>0</v>
      </c>
      <c r="I453" s="341">
        <v>0</v>
      </c>
      <c r="J453" s="341">
        <v>0</v>
      </c>
      <c r="K453" s="341">
        <v>0</v>
      </c>
      <c r="L453" s="341">
        <v>0</v>
      </c>
      <c r="M453" s="341">
        <v>0</v>
      </c>
      <c r="N453" s="341">
        <v>0</v>
      </c>
      <c r="O453" s="82"/>
      <c r="P453" s="86"/>
    </row>
    <row r="454" spans="1:16">
      <c r="A454" s="100"/>
      <c r="B454" s="85"/>
      <c r="C454" s="100" t="s">
        <v>98</v>
      </c>
      <c r="D454" s="341">
        <v>0</v>
      </c>
      <c r="E454" s="341">
        <v>0</v>
      </c>
      <c r="F454" s="341">
        <v>0</v>
      </c>
      <c r="G454" s="341">
        <v>0</v>
      </c>
      <c r="H454" s="341">
        <v>0</v>
      </c>
      <c r="I454" s="341">
        <v>0</v>
      </c>
      <c r="J454" s="341">
        <v>0</v>
      </c>
      <c r="K454" s="341">
        <v>0</v>
      </c>
      <c r="L454" s="341">
        <v>0</v>
      </c>
      <c r="M454" s="341">
        <v>0</v>
      </c>
      <c r="N454" s="341">
        <v>0</v>
      </c>
      <c r="O454" s="82"/>
      <c r="P454" s="86"/>
    </row>
    <row r="455" spans="1:16">
      <c r="A455" s="100"/>
      <c r="B455" s="85"/>
      <c r="C455" s="100" t="s">
        <v>99</v>
      </c>
      <c r="D455" s="341">
        <v>0</v>
      </c>
      <c r="E455" s="341">
        <v>0</v>
      </c>
      <c r="F455" s="341">
        <v>0</v>
      </c>
      <c r="G455" s="341">
        <v>0</v>
      </c>
      <c r="H455" s="341">
        <v>0</v>
      </c>
      <c r="I455" s="341">
        <v>0</v>
      </c>
      <c r="J455" s="341">
        <v>0</v>
      </c>
      <c r="K455" s="341">
        <v>0</v>
      </c>
      <c r="L455" s="341">
        <v>0</v>
      </c>
      <c r="M455" s="341">
        <v>0</v>
      </c>
      <c r="N455" s="341">
        <v>0</v>
      </c>
      <c r="O455" s="82"/>
      <c r="P455" s="86"/>
    </row>
    <row r="456" spans="1:16">
      <c r="A456" s="100"/>
      <c r="B456" s="85"/>
      <c r="C456" s="100" t="s">
        <v>83</v>
      </c>
      <c r="D456" s="341">
        <v>0</v>
      </c>
      <c r="E456" s="341">
        <v>0</v>
      </c>
      <c r="F456" s="341">
        <v>0</v>
      </c>
      <c r="G456" s="341">
        <v>0</v>
      </c>
      <c r="H456" s="341">
        <v>0</v>
      </c>
      <c r="I456" s="341">
        <v>0</v>
      </c>
      <c r="J456" s="341">
        <v>0</v>
      </c>
      <c r="K456" s="341">
        <v>0</v>
      </c>
      <c r="L456" s="341">
        <v>0</v>
      </c>
      <c r="M456" s="341">
        <v>0</v>
      </c>
      <c r="N456" s="341">
        <v>0</v>
      </c>
      <c r="O456" s="82"/>
      <c r="P456" s="86"/>
    </row>
    <row r="457" spans="1:16">
      <c r="A457" s="100"/>
      <c r="B457" s="85"/>
      <c r="C457" s="100" t="s">
        <v>84</v>
      </c>
      <c r="D457" s="341">
        <v>0</v>
      </c>
      <c r="E457" s="341">
        <v>0</v>
      </c>
      <c r="F457" s="341">
        <v>0</v>
      </c>
      <c r="G457" s="341">
        <v>0</v>
      </c>
      <c r="H457" s="341">
        <v>0</v>
      </c>
      <c r="I457" s="341">
        <v>0</v>
      </c>
      <c r="J457" s="341">
        <v>0</v>
      </c>
      <c r="K457" s="341">
        <v>0</v>
      </c>
      <c r="L457" s="341">
        <v>0</v>
      </c>
      <c r="M457" s="341">
        <v>0</v>
      </c>
      <c r="N457" s="341">
        <v>0</v>
      </c>
      <c r="O457" s="82"/>
      <c r="P457" s="86"/>
    </row>
    <row r="458" spans="1:16">
      <c r="A458" s="100"/>
      <c r="B458" s="85"/>
      <c r="C458" s="100" t="s">
        <v>85</v>
      </c>
      <c r="D458" s="341">
        <v>0</v>
      </c>
      <c r="E458" s="341">
        <v>0</v>
      </c>
      <c r="F458" s="341">
        <v>0</v>
      </c>
      <c r="G458" s="341">
        <v>0</v>
      </c>
      <c r="H458" s="341">
        <v>0</v>
      </c>
      <c r="I458" s="341">
        <v>0</v>
      </c>
      <c r="J458" s="341">
        <v>0</v>
      </c>
      <c r="K458" s="341">
        <v>0</v>
      </c>
      <c r="L458" s="341">
        <v>0</v>
      </c>
      <c r="M458" s="341">
        <v>0</v>
      </c>
      <c r="N458" s="341">
        <v>0</v>
      </c>
      <c r="O458" s="82"/>
      <c r="P458" s="86"/>
    </row>
    <row r="459" spans="1:16">
      <c r="A459" s="100"/>
      <c r="B459" s="85"/>
      <c r="C459" s="100" t="s">
        <v>86</v>
      </c>
      <c r="D459" s="341">
        <v>0</v>
      </c>
      <c r="E459" s="341">
        <v>0</v>
      </c>
      <c r="F459" s="341">
        <v>0</v>
      </c>
      <c r="G459" s="341">
        <v>0</v>
      </c>
      <c r="H459" s="341">
        <v>0</v>
      </c>
      <c r="I459" s="341">
        <v>0</v>
      </c>
      <c r="J459" s="341">
        <v>0</v>
      </c>
      <c r="K459" s="341">
        <v>0</v>
      </c>
      <c r="L459" s="341">
        <v>0</v>
      </c>
      <c r="M459" s="341">
        <v>0</v>
      </c>
      <c r="N459" s="341">
        <v>0</v>
      </c>
      <c r="O459" s="82"/>
      <c r="P459" s="86"/>
    </row>
    <row r="460" spans="1:16">
      <c r="A460" s="100"/>
      <c r="B460" s="85"/>
      <c r="C460" s="100" t="s">
        <v>87</v>
      </c>
      <c r="D460" s="341">
        <v>0</v>
      </c>
      <c r="E460" s="341">
        <v>0</v>
      </c>
      <c r="F460" s="341">
        <v>0</v>
      </c>
      <c r="G460" s="341">
        <v>0</v>
      </c>
      <c r="H460" s="341">
        <v>0</v>
      </c>
      <c r="I460" s="341">
        <v>0</v>
      </c>
      <c r="J460" s="341">
        <v>0</v>
      </c>
      <c r="K460" s="341">
        <v>0</v>
      </c>
      <c r="L460" s="341">
        <v>0</v>
      </c>
      <c r="M460" s="341">
        <v>0</v>
      </c>
      <c r="N460" s="341">
        <v>0</v>
      </c>
      <c r="O460" s="82"/>
      <c r="P460" s="86"/>
    </row>
    <row r="461" spans="1:16">
      <c r="A461" s="100"/>
      <c r="B461" s="85"/>
      <c r="C461" s="100" t="s">
        <v>88</v>
      </c>
      <c r="D461" s="341">
        <v>0</v>
      </c>
      <c r="E461" s="341">
        <v>0</v>
      </c>
      <c r="F461" s="341">
        <v>0</v>
      </c>
      <c r="G461" s="341">
        <v>0</v>
      </c>
      <c r="H461" s="341">
        <v>0</v>
      </c>
      <c r="I461" s="341">
        <v>0</v>
      </c>
      <c r="J461" s="341">
        <v>0</v>
      </c>
      <c r="K461" s="341">
        <v>0</v>
      </c>
      <c r="L461" s="341">
        <v>0</v>
      </c>
      <c r="M461" s="341">
        <v>0</v>
      </c>
      <c r="N461" s="341">
        <v>0</v>
      </c>
      <c r="O461" s="82"/>
      <c r="P461" s="86"/>
    </row>
    <row r="462" spans="1:16">
      <c r="A462" s="100"/>
      <c r="B462" s="85"/>
      <c r="C462" s="100" t="s">
        <v>89</v>
      </c>
      <c r="D462" s="341">
        <v>0</v>
      </c>
      <c r="E462" s="341">
        <v>0</v>
      </c>
      <c r="F462" s="341">
        <v>0</v>
      </c>
      <c r="G462" s="341">
        <v>0</v>
      </c>
      <c r="H462" s="341">
        <v>0</v>
      </c>
      <c r="I462" s="341">
        <v>0</v>
      </c>
      <c r="J462" s="341">
        <v>0</v>
      </c>
      <c r="K462" s="341">
        <v>0</v>
      </c>
      <c r="L462" s="341">
        <v>0</v>
      </c>
      <c r="M462" s="341">
        <v>0</v>
      </c>
      <c r="N462" s="341">
        <v>0</v>
      </c>
      <c r="O462" s="82"/>
      <c r="P462" s="86"/>
    </row>
    <row r="463" spans="1:16">
      <c r="A463" s="100"/>
      <c r="B463" s="85"/>
      <c r="C463" s="100" t="s">
        <v>90</v>
      </c>
      <c r="D463" s="341">
        <v>0</v>
      </c>
      <c r="E463" s="341">
        <v>0</v>
      </c>
      <c r="F463" s="341">
        <v>0</v>
      </c>
      <c r="G463" s="341">
        <v>0</v>
      </c>
      <c r="H463" s="341">
        <v>0</v>
      </c>
      <c r="I463" s="341">
        <v>0</v>
      </c>
      <c r="J463" s="341">
        <v>0</v>
      </c>
      <c r="K463" s="341">
        <v>0</v>
      </c>
      <c r="L463" s="341">
        <v>0</v>
      </c>
      <c r="M463" s="341">
        <v>0</v>
      </c>
      <c r="N463" s="341">
        <v>0</v>
      </c>
      <c r="O463" s="82"/>
      <c r="P463" s="86"/>
    </row>
    <row r="464" spans="1:16">
      <c r="A464" s="100"/>
      <c r="B464" s="85"/>
      <c r="C464" s="100" t="s">
        <v>91</v>
      </c>
      <c r="D464" s="341">
        <v>0</v>
      </c>
      <c r="E464" s="341">
        <v>0</v>
      </c>
      <c r="F464" s="341">
        <v>0</v>
      </c>
      <c r="G464" s="341">
        <v>0</v>
      </c>
      <c r="H464" s="341">
        <v>0</v>
      </c>
      <c r="I464" s="341">
        <v>0</v>
      </c>
      <c r="J464" s="341">
        <v>0</v>
      </c>
      <c r="K464" s="341">
        <v>0</v>
      </c>
      <c r="L464" s="341">
        <v>0</v>
      </c>
      <c r="M464" s="341">
        <v>0</v>
      </c>
      <c r="N464" s="341">
        <v>0</v>
      </c>
      <c r="O464" s="82"/>
      <c r="P464" s="86"/>
    </row>
    <row r="465" spans="1:16">
      <c r="A465" s="100"/>
      <c r="B465" s="85"/>
      <c r="C465" s="100" t="s">
        <v>92</v>
      </c>
      <c r="D465" s="341">
        <v>0</v>
      </c>
      <c r="E465" s="341">
        <v>0</v>
      </c>
      <c r="F465" s="341">
        <v>0</v>
      </c>
      <c r="G465" s="341">
        <v>0</v>
      </c>
      <c r="H465" s="341">
        <v>0</v>
      </c>
      <c r="I465" s="341">
        <v>0</v>
      </c>
      <c r="J465" s="341">
        <v>0</v>
      </c>
      <c r="K465" s="341">
        <v>0</v>
      </c>
      <c r="L465" s="341">
        <v>0</v>
      </c>
      <c r="M465" s="341">
        <v>0</v>
      </c>
      <c r="N465" s="341">
        <v>0</v>
      </c>
      <c r="O465" s="82"/>
      <c r="P465" s="86"/>
    </row>
    <row r="466" spans="1:16">
      <c r="A466" s="100"/>
      <c r="B466" s="85"/>
      <c r="C466" s="100" t="s">
        <v>95</v>
      </c>
      <c r="D466" s="341">
        <v>0</v>
      </c>
      <c r="E466" s="341">
        <v>0</v>
      </c>
      <c r="F466" s="341">
        <v>0</v>
      </c>
      <c r="G466" s="341">
        <v>0</v>
      </c>
      <c r="H466" s="341">
        <v>0</v>
      </c>
      <c r="I466" s="341">
        <v>0</v>
      </c>
      <c r="J466" s="341">
        <v>0</v>
      </c>
      <c r="K466" s="341">
        <v>0</v>
      </c>
      <c r="L466" s="341">
        <v>0</v>
      </c>
      <c r="M466" s="341">
        <v>0</v>
      </c>
      <c r="N466" s="341">
        <v>0</v>
      </c>
      <c r="O466" s="82"/>
      <c r="P466" s="86"/>
    </row>
    <row r="467" spans="1:16">
      <c r="A467" s="100"/>
      <c r="B467" s="85"/>
      <c r="C467" s="100" t="s">
        <v>96</v>
      </c>
      <c r="D467" s="341">
        <v>0</v>
      </c>
      <c r="E467" s="341">
        <v>0</v>
      </c>
      <c r="F467" s="341">
        <v>0</v>
      </c>
      <c r="G467" s="341">
        <v>0</v>
      </c>
      <c r="H467" s="341">
        <v>0</v>
      </c>
      <c r="I467" s="341">
        <v>0</v>
      </c>
      <c r="J467" s="341">
        <v>0</v>
      </c>
      <c r="K467" s="341">
        <v>0</v>
      </c>
      <c r="L467" s="341">
        <v>0</v>
      </c>
      <c r="M467" s="341">
        <v>0</v>
      </c>
      <c r="N467" s="341">
        <v>0</v>
      </c>
      <c r="O467" s="82"/>
      <c r="P467" s="86"/>
    </row>
    <row r="468" spans="1:16">
      <c r="A468" s="100"/>
      <c r="B468" s="85"/>
      <c r="C468" s="100" t="s">
        <v>93</v>
      </c>
      <c r="D468" s="341">
        <v>0</v>
      </c>
      <c r="E468" s="341">
        <v>0</v>
      </c>
      <c r="F468" s="341">
        <v>0</v>
      </c>
      <c r="G468" s="341">
        <v>0</v>
      </c>
      <c r="H468" s="341">
        <v>0</v>
      </c>
      <c r="I468" s="341">
        <v>0</v>
      </c>
      <c r="J468" s="341">
        <v>0</v>
      </c>
      <c r="K468" s="341">
        <v>0</v>
      </c>
      <c r="L468" s="341">
        <v>0</v>
      </c>
      <c r="M468" s="341">
        <v>0</v>
      </c>
      <c r="N468" s="341">
        <v>0</v>
      </c>
      <c r="O468" s="82"/>
      <c r="P468" s="86"/>
    </row>
    <row r="469" spans="1:16">
      <c r="A469" s="100"/>
      <c r="B469" s="85"/>
      <c r="C469" s="100" t="s">
        <v>97</v>
      </c>
      <c r="D469" s="341">
        <v>0</v>
      </c>
      <c r="E469" s="341">
        <v>0</v>
      </c>
      <c r="F469" s="341">
        <v>0</v>
      </c>
      <c r="G469" s="341">
        <v>0</v>
      </c>
      <c r="H469" s="341">
        <v>0</v>
      </c>
      <c r="I469" s="341">
        <v>0</v>
      </c>
      <c r="J469" s="341">
        <v>0</v>
      </c>
      <c r="K469" s="341">
        <v>0</v>
      </c>
      <c r="L469" s="341">
        <v>0</v>
      </c>
      <c r="M469" s="341">
        <v>0</v>
      </c>
      <c r="N469" s="341">
        <v>0</v>
      </c>
      <c r="O469" s="82"/>
      <c r="P469" s="86"/>
    </row>
    <row r="470" spans="1:16">
      <c r="A470" s="100"/>
      <c r="B470" s="85"/>
      <c r="C470" s="4" t="s">
        <v>136</v>
      </c>
      <c r="D470" s="341">
        <v>0</v>
      </c>
      <c r="E470" s="341">
        <v>0</v>
      </c>
      <c r="F470" s="341">
        <v>0</v>
      </c>
      <c r="G470" s="341">
        <v>0</v>
      </c>
      <c r="H470" s="341">
        <v>0</v>
      </c>
      <c r="I470" s="341">
        <v>0</v>
      </c>
      <c r="J470" s="341">
        <v>0</v>
      </c>
      <c r="K470" s="341">
        <v>0</v>
      </c>
      <c r="L470" s="341">
        <v>0</v>
      </c>
      <c r="M470" s="341">
        <v>0</v>
      </c>
      <c r="N470" s="341">
        <v>0</v>
      </c>
      <c r="O470" s="82"/>
      <c r="P470" s="86"/>
    </row>
    <row r="471" spans="1:16">
      <c r="A471" s="100"/>
      <c r="B471" s="85" t="s">
        <v>167</v>
      </c>
      <c r="C471" s="100" t="s">
        <v>102</v>
      </c>
      <c r="D471" s="341">
        <v>0</v>
      </c>
      <c r="E471" s="341">
        <v>0</v>
      </c>
      <c r="F471" s="341">
        <v>0</v>
      </c>
      <c r="G471" s="341">
        <v>0</v>
      </c>
      <c r="H471" s="341">
        <v>0</v>
      </c>
      <c r="I471" s="341">
        <v>0</v>
      </c>
      <c r="J471" s="341">
        <v>0</v>
      </c>
      <c r="K471" s="341">
        <v>0</v>
      </c>
      <c r="L471" s="341">
        <v>0</v>
      </c>
      <c r="M471" s="341">
        <v>0</v>
      </c>
      <c r="N471" s="341">
        <v>0</v>
      </c>
      <c r="O471" s="82"/>
      <c r="P471" s="86"/>
    </row>
    <row r="472" spans="1:16">
      <c r="A472" s="100"/>
      <c r="B472" s="85"/>
      <c r="C472" s="100" t="s">
        <v>98</v>
      </c>
      <c r="D472" s="341">
        <v>0</v>
      </c>
      <c r="E472" s="341">
        <v>0</v>
      </c>
      <c r="F472" s="341">
        <v>0</v>
      </c>
      <c r="G472" s="341">
        <v>0</v>
      </c>
      <c r="H472" s="341">
        <v>0</v>
      </c>
      <c r="I472" s="341">
        <v>0</v>
      </c>
      <c r="J472" s="341">
        <v>0</v>
      </c>
      <c r="K472" s="341">
        <v>0</v>
      </c>
      <c r="L472" s="341">
        <v>0</v>
      </c>
      <c r="M472" s="341">
        <v>0</v>
      </c>
      <c r="N472" s="341">
        <v>0</v>
      </c>
      <c r="O472" s="82"/>
      <c r="P472" s="86"/>
    </row>
    <row r="473" spans="1:16">
      <c r="A473" s="100"/>
      <c r="B473" s="85"/>
      <c r="C473" s="100" t="s">
        <v>99</v>
      </c>
      <c r="D473" s="341">
        <v>0</v>
      </c>
      <c r="E473" s="341">
        <v>0</v>
      </c>
      <c r="F473" s="341">
        <v>0</v>
      </c>
      <c r="G473" s="341">
        <v>0</v>
      </c>
      <c r="H473" s="341">
        <v>0</v>
      </c>
      <c r="I473" s="341">
        <v>0</v>
      </c>
      <c r="J473" s="341">
        <v>0</v>
      </c>
      <c r="K473" s="341">
        <v>0</v>
      </c>
      <c r="L473" s="341">
        <v>0</v>
      </c>
      <c r="M473" s="341">
        <v>0</v>
      </c>
      <c r="N473" s="341">
        <v>0</v>
      </c>
      <c r="O473" s="82"/>
      <c r="P473" s="86"/>
    </row>
    <row r="474" spans="1:16">
      <c r="A474" s="100"/>
      <c r="B474" s="85"/>
      <c r="C474" s="100" t="s">
        <v>83</v>
      </c>
      <c r="D474" s="341">
        <v>0</v>
      </c>
      <c r="E474" s="341">
        <v>0</v>
      </c>
      <c r="F474" s="341">
        <v>0</v>
      </c>
      <c r="G474" s="341">
        <v>0</v>
      </c>
      <c r="H474" s="341">
        <v>0</v>
      </c>
      <c r="I474" s="341">
        <v>0</v>
      </c>
      <c r="J474" s="341">
        <v>0</v>
      </c>
      <c r="K474" s="341">
        <v>0</v>
      </c>
      <c r="L474" s="341">
        <v>0</v>
      </c>
      <c r="M474" s="341">
        <v>0</v>
      </c>
      <c r="N474" s="341">
        <v>0</v>
      </c>
      <c r="O474" s="82"/>
      <c r="P474" s="86"/>
    </row>
    <row r="475" spans="1:16">
      <c r="A475" s="100"/>
      <c r="B475" s="85"/>
      <c r="C475" s="100" t="s">
        <v>84</v>
      </c>
      <c r="D475" s="341">
        <v>0</v>
      </c>
      <c r="E475" s="341">
        <v>0</v>
      </c>
      <c r="F475" s="341">
        <v>0</v>
      </c>
      <c r="G475" s="341">
        <v>0</v>
      </c>
      <c r="H475" s="341">
        <v>0</v>
      </c>
      <c r="I475" s="341">
        <v>0</v>
      </c>
      <c r="J475" s="341">
        <v>0</v>
      </c>
      <c r="K475" s="341">
        <v>0</v>
      </c>
      <c r="L475" s="341">
        <v>0</v>
      </c>
      <c r="M475" s="341">
        <v>0</v>
      </c>
      <c r="N475" s="341">
        <v>0</v>
      </c>
      <c r="O475" s="82"/>
      <c r="P475" s="86"/>
    </row>
    <row r="476" spans="1:16">
      <c r="A476" s="100"/>
      <c r="B476" s="85"/>
      <c r="C476" s="100" t="s">
        <v>85</v>
      </c>
      <c r="D476" s="341">
        <v>0</v>
      </c>
      <c r="E476" s="341">
        <v>0</v>
      </c>
      <c r="F476" s="341">
        <v>0</v>
      </c>
      <c r="G476" s="341">
        <v>0</v>
      </c>
      <c r="H476" s="341">
        <v>0</v>
      </c>
      <c r="I476" s="341">
        <v>0</v>
      </c>
      <c r="J476" s="341">
        <v>0</v>
      </c>
      <c r="K476" s="341">
        <v>0</v>
      </c>
      <c r="L476" s="341">
        <v>0</v>
      </c>
      <c r="M476" s="341">
        <v>0</v>
      </c>
      <c r="N476" s="341">
        <v>0</v>
      </c>
      <c r="O476" s="82"/>
      <c r="P476" s="86"/>
    </row>
    <row r="477" spans="1:16">
      <c r="A477" s="100"/>
      <c r="B477" s="85"/>
      <c r="C477" s="100" t="s">
        <v>86</v>
      </c>
      <c r="D477" s="341">
        <v>0</v>
      </c>
      <c r="E477" s="341">
        <v>0</v>
      </c>
      <c r="F477" s="341">
        <v>0</v>
      </c>
      <c r="G477" s="341">
        <v>0</v>
      </c>
      <c r="H477" s="341">
        <v>0</v>
      </c>
      <c r="I477" s="341">
        <v>0</v>
      </c>
      <c r="J477" s="341">
        <v>0</v>
      </c>
      <c r="K477" s="341">
        <v>0</v>
      </c>
      <c r="L477" s="341">
        <v>0</v>
      </c>
      <c r="M477" s="341">
        <v>0</v>
      </c>
      <c r="N477" s="341">
        <v>0</v>
      </c>
      <c r="O477" s="82"/>
      <c r="P477" s="86"/>
    </row>
    <row r="478" spans="1:16">
      <c r="A478" s="100"/>
      <c r="B478" s="85"/>
      <c r="C478" s="100" t="s">
        <v>87</v>
      </c>
      <c r="D478" s="341">
        <v>0</v>
      </c>
      <c r="E478" s="341">
        <v>0</v>
      </c>
      <c r="F478" s="341">
        <v>0</v>
      </c>
      <c r="G478" s="341">
        <v>0</v>
      </c>
      <c r="H478" s="341">
        <v>0</v>
      </c>
      <c r="I478" s="341">
        <v>0</v>
      </c>
      <c r="J478" s="341">
        <v>0</v>
      </c>
      <c r="K478" s="341">
        <v>0</v>
      </c>
      <c r="L478" s="341">
        <v>0</v>
      </c>
      <c r="M478" s="341">
        <v>0</v>
      </c>
      <c r="N478" s="341">
        <v>0</v>
      </c>
      <c r="O478" s="82"/>
      <c r="P478" s="86"/>
    </row>
    <row r="479" spans="1:16">
      <c r="A479" s="100"/>
      <c r="B479" s="85"/>
      <c r="C479" s="100" t="s">
        <v>88</v>
      </c>
      <c r="D479" s="341">
        <v>0</v>
      </c>
      <c r="E479" s="341">
        <v>0</v>
      </c>
      <c r="F479" s="341">
        <v>0</v>
      </c>
      <c r="G479" s="341">
        <v>0</v>
      </c>
      <c r="H479" s="341">
        <v>0</v>
      </c>
      <c r="I479" s="341">
        <v>0</v>
      </c>
      <c r="J479" s="341">
        <v>0</v>
      </c>
      <c r="K479" s="341">
        <v>0</v>
      </c>
      <c r="L479" s="341">
        <v>0</v>
      </c>
      <c r="M479" s="341">
        <v>0</v>
      </c>
      <c r="N479" s="341">
        <v>0</v>
      </c>
      <c r="O479" s="82"/>
      <c r="P479" s="86"/>
    </row>
    <row r="480" spans="1:16">
      <c r="A480" s="100"/>
      <c r="B480" s="85"/>
      <c r="C480" s="100" t="s">
        <v>89</v>
      </c>
      <c r="D480" s="341">
        <v>0</v>
      </c>
      <c r="E480" s="341">
        <v>0</v>
      </c>
      <c r="F480" s="341">
        <v>0</v>
      </c>
      <c r="G480" s="341">
        <v>0</v>
      </c>
      <c r="H480" s="341">
        <v>0</v>
      </c>
      <c r="I480" s="341">
        <v>0</v>
      </c>
      <c r="J480" s="341">
        <v>0</v>
      </c>
      <c r="K480" s="341">
        <v>0</v>
      </c>
      <c r="L480" s="341">
        <v>0</v>
      </c>
      <c r="M480" s="341">
        <v>0</v>
      </c>
      <c r="N480" s="341">
        <v>0</v>
      </c>
      <c r="O480" s="82"/>
      <c r="P480" s="86"/>
    </row>
    <row r="481" spans="1:16">
      <c r="A481" s="100"/>
      <c r="B481" s="85"/>
      <c r="C481" s="100" t="s">
        <v>90</v>
      </c>
      <c r="D481" s="341">
        <v>0</v>
      </c>
      <c r="E481" s="341">
        <v>0</v>
      </c>
      <c r="F481" s="341">
        <v>0</v>
      </c>
      <c r="G481" s="341">
        <v>0</v>
      </c>
      <c r="H481" s="341">
        <v>0</v>
      </c>
      <c r="I481" s="341">
        <v>0</v>
      </c>
      <c r="J481" s="341">
        <v>0</v>
      </c>
      <c r="K481" s="341">
        <v>0</v>
      </c>
      <c r="L481" s="341">
        <v>0</v>
      </c>
      <c r="M481" s="341">
        <v>0</v>
      </c>
      <c r="N481" s="341">
        <v>0</v>
      </c>
      <c r="O481" s="82"/>
      <c r="P481" s="86"/>
    </row>
    <row r="482" spans="1:16">
      <c r="A482" s="100"/>
      <c r="B482" s="85"/>
      <c r="C482" s="100" t="s">
        <v>91</v>
      </c>
      <c r="D482" s="341">
        <v>0</v>
      </c>
      <c r="E482" s="341">
        <v>0</v>
      </c>
      <c r="F482" s="341">
        <v>0</v>
      </c>
      <c r="G482" s="341">
        <v>0</v>
      </c>
      <c r="H482" s="341">
        <v>0</v>
      </c>
      <c r="I482" s="341">
        <v>0</v>
      </c>
      <c r="J482" s="341">
        <v>0</v>
      </c>
      <c r="K482" s="341">
        <v>0</v>
      </c>
      <c r="L482" s="341">
        <v>0</v>
      </c>
      <c r="M482" s="341">
        <v>0</v>
      </c>
      <c r="N482" s="341">
        <v>0</v>
      </c>
      <c r="O482" s="82"/>
      <c r="P482" s="86"/>
    </row>
    <row r="483" spans="1:16">
      <c r="A483" s="100"/>
      <c r="B483" s="85"/>
      <c r="C483" s="100" t="s">
        <v>92</v>
      </c>
      <c r="D483" s="341">
        <v>0</v>
      </c>
      <c r="E483" s="341">
        <v>0</v>
      </c>
      <c r="F483" s="341">
        <v>0</v>
      </c>
      <c r="G483" s="341">
        <v>0</v>
      </c>
      <c r="H483" s="341">
        <v>0</v>
      </c>
      <c r="I483" s="341">
        <v>0</v>
      </c>
      <c r="J483" s="341">
        <v>0</v>
      </c>
      <c r="K483" s="341">
        <v>0</v>
      </c>
      <c r="L483" s="341">
        <v>0</v>
      </c>
      <c r="M483" s="341">
        <v>0</v>
      </c>
      <c r="N483" s="341">
        <v>0</v>
      </c>
      <c r="O483" s="82"/>
      <c r="P483" s="86"/>
    </row>
    <row r="484" spans="1:16">
      <c r="A484" s="100"/>
      <c r="B484" s="85"/>
      <c r="C484" s="100" t="s">
        <v>95</v>
      </c>
      <c r="D484" s="341">
        <v>0</v>
      </c>
      <c r="E484" s="341">
        <v>0</v>
      </c>
      <c r="F484" s="341">
        <v>0</v>
      </c>
      <c r="G484" s="341">
        <v>0</v>
      </c>
      <c r="H484" s="341">
        <v>0</v>
      </c>
      <c r="I484" s="341">
        <v>0</v>
      </c>
      <c r="J484" s="341">
        <v>0</v>
      </c>
      <c r="K484" s="341">
        <v>0</v>
      </c>
      <c r="L484" s="341">
        <v>0</v>
      </c>
      <c r="M484" s="341">
        <v>0</v>
      </c>
      <c r="N484" s="341">
        <v>0</v>
      </c>
      <c r="O484" s="82"/>
      <c r="P484" s="86"/>
    </row>
    <row r="485" spans="1:16">
      <c r="A485" s="100"/>
      <c r="B485" s="85"/>
      <c r="C485" s="100" t="s">
        <v>96</v>
      </c>
      <c r="D485" s="341">
        <v>0</v>
      </c>
      <c r="E485" s="341">
        <v>1</v>
      </c>
      <c r="F485" s="341">
        <v>0</v>
      </c>
      <c r="G485" s="341">
        <v>0</v>
      </c>
      <c r="H485" s="341">
        <v>0</v>
      </c>
      <c r="I485" s="341">
        <v>0</v>
      </c>
      <c r="J485" s="341">
        <v>0</v>
      </c>
      <c r="K485" s="341">
        <v>0</v>
      </c>
      <c r="L485" s="341">
        <v>0</v>
      </c>
      <c r="M485" s="341">
        <v>0</v>
      </c>
      <c r="N485" s="341">
        <v>0</v>
      </c>
      <c r="O485" s="82"/>
      <c r="P485" s="86"/>
    </row>
    <row r="486" spans="1:16">
      <c r="A486" s="100"/>
      <c r="B486" s="85"/>
      <c r="C486" s="100" t="s">
        <v>93</v>
      </c>
      <c r="D486" s="341">
        <v>0</v>
      </c>
      <c r="E486" s="341">
        <v>0</v>
      </c>
      <c r="F486" s="341">
        <v>0</v>
      </c>
      <c r="G486" s="341">
        <v>0</v>
      </c>
      <c r="H486" s="341">
        <v>0</v>
      </c>
      <c r="I486" s="341">
        <v>0</v>
      </c>
      <c r="J486" s="341">
        <v>0</v>
      </c>
      <c r="K486" s="341">
        <v>0</v>
      </c>
      <c r="L486" s="341">
        <v>0</v>
      </c>
      <c r="M486" s="341">
        <v>0</v>
      </c>
      <c r="N486" s="341">
        <v>0</v>
      </c>
      <c r="O486" s="82"/>
      <c r="P486" s="86"/>
    </row>
    <row r="487" spans="1:16">
      <c r="A487" s="100"/>
      <c r="B487" s="85"/>
      <c r="C487" s="100" t="s">
        <v>97</v>
      </c>
      <c r="D487" s="341">
        <v>0</v>
      </c>
      <c r="E487" s="341">
        <v>0</v>
      </c>
      <c r="F487" s="341">
        <v>0</v>
      </c>
      <c r="G487" s="341">
        <v>0</v>
      </c>
      <c r="H487" s="341">
        <v>0</v>
      </c>
      <c r="I487" s="341">
        <v>0</v>
      </c>
      <c r="J487" s="341">
        <v>0</v>
      </c>
      <c r="K487" s="341">
        <v>0</v>
      </c>
      <c r="L487" s="341">
        <v>0</v>
      </c>
      <c r="M487" s="341">
        <v>0</v>
      </c>
      <c r="N487" s="341">
        <v>0</v>
      </c>
      <c r="O487" s="82"/>
      <c r="P487" s="86"/>
    </row>
    <row r="488" spans="1:16">
      <c r="A488" s="100"/>
      <c r="B488" s="85"/>
      <c r="C488" s="4" t="s">
        <v>136</v>
      </c>
      <c r="D488" s="341">
        <v>0</v>
      </c>
      <c r="E488" s="341">
        <v>0</v>
      </c>
      <c r="F488" s="341">
        <v>0</v>
      </c>
      <c r="G488" s="341">
        <v>0</v>
      </c>
      <c r="H488" s="341">
        <v>0</v>
      </c>
      <c r="I488" s="341">
        <v>0</v>
      </c>
      <c r="J488" s="341">
        <v>0</v>
      </c>
      <c r="K488" s="341">
        <v>0</v>
      </c>
      <c r="L488" s="341">
        <v>0</v>
      </c>
      <c r="M488" s="341">
        <v>0</v>
      </c>
      <c r="N488" s="341">
        <v>0</v>
      </c>
      <c r="O488" s="82"/>
      <c r="P488" s="86"/>
    </row>
    <row r="489" spans="1:16">
      <c r="A489" s="100"/>
      <c r="B489" s="85" t="s">
        <v>168</v>
      </c>
      <c r="C489" s="100" t="s">
        <v>102</v>
      </c>
      <c r="D489" s="341">
        <v>0</v>
      </c>
      <c r="E489" s="341">
        <v>0</v>
      </c>
      <c r="F489" s="341">
        <v>0</v>
      </c>
      <c r="G489" s="341">
        <v>0</v>
      </c>
      <c r="H489" s="341">
        <v>0</v>
      </c>
      <c r="I489" s="341">
        <v>0</v>
      </c>
      <c r="J489" s="341">
        <v>0</v>
      </c>
      <c r="K489" s="341">
        <v>0</v>
      </c>
      <c r="L489" s="341">
        <v>0</v>
      </c>
      <c r="M489" s="341">
        <v>0</v>
      </c>
      <c r="N489" s="341">
        <v>0</v>
      </c>
      <c r="O489" s="82"/>
      <c r="P489" s="86"/>
    </row>
    <row r="490" spans="1:16">
      <c r="A490" s="100"/>
      <c r="B490" s="85"/>
      <c r="C490" s="100" t="s">
        <v>98</v>
      </c>
      <c r="D490" s="341">
        <v>0</v>
      </c>
      <c r="E490" s="341">
        <v>0</v>
      </c>
      <c r="F490" s="341">
        <v>0</v>
      </c>
      <c r="G490" s="341">
        <v>0</v>
      </c>
      <c r="H490" s="341">
        <v>0</v>
      </c>
      <c r="I490" s="341">
        <v>0</v>
      </c>
      <c r="J490" s="341">
        <v>0</v>
      </c>
      <c r="K490" s="341">
        <v>0</v>
      </c>
      <c r="L490" s="341">
        <v>0</v>
      </c>
      <c r="M490" s="341">
        <v>0</v>
      </c>
      <c r="N490" s="341">
        <v>0</v>
      </c>
      <c r="O490" s="82"/>
      <c r="P490" s="86"/>
    </row>
    <row r="491" spans="1:16">
      <c r="A491" s="100"/>
      <c r="B491" s="85"/>
      <c r="C491" s="100" t="s">
        <v>99</v>
      </c>
      <c r="D491" s="341">
        <v>0</v>
      </c>
      <c r="E491" s="341">
        <v>0</v>
      </c>
      <c r="F491" s="341">
        <v>0</v>
      </c>
      <c r="G491" s="341">
        <v>0</v>
      </c>
      <c r="H491" s="341">
        <v>0</v>
      </c>
      <c r="I491" s="341">
        <v>0</v>
      </c>
      <c r="J491" s="341">
        <v>0</v>
      </c>
      <c r="K491" s="341">
        <v>0</v>
      </c>
      <c r="L491" s="341">
        <v>0</v>
      </c>
      <c r="M491" s="341">
        <v>0</v>
      </c>
      <c r="N491" s="341">
        <v>0</v>
      </c>
      <c r="O491" s="82"/>
      <c r="P491" s="86"/>
    </row>
    <row r="492" spans="1:16">
      <c r="A492" s="100"/>
      <c r="B492" s="85"/>
      <c r="C492" s="100" t="s">
        <v>83</v>
      </c>
      <c r="D492" s="341">
        <v>0</v>
      </c>
      <c r="E492" s="341">
        <v>0</v>
      </c>
      <c r="F492" s="341">
        <v>0</v>
      </c>
      <c r="G492" s="341">
        <v>0</v>
      </c>
      <c r="H492" s="341">
        <v>0</v>
      </c>
      <c r="I492" s="341">
        <v>0</v>
      </c>
      <c r="J492" s="341">
        <v>0</v>
      </c>
      <c r="K492" s="341">
        <v>0</v>
      </c>
      <c r="L492" s="341">
        <v>0</v>
      </c>
      <c r="M492" s="341">
        <v>0</v>
      </c>
      <c r="N492" s="341">
        <v>0</v>
      </c>
      <c r="O492" s="82"/>
      <c r="P492" s="86"/>
    </row>
    <row r="493" spans="1:16">
      <c r="A493" s="100"/>
      <c r="B493" s="85"/>
      <c r="C493" s="100" t="s">
        <v>84</v>
      </c>
      <c r="D493" s="341">
        <v>0</v>
      </c>
      <c r="E493" s="341">
        <v>0</v>
      </c>
      <c r="F493" s="341">
        <v>0</v>
      </c>
      <c r="G493" s="341">
        <v>0</v>
      </c>
      <c r="H493" s="341">
        <v>0</v>
      </c>
      <c r="I493" s="341">
        <v>0</v>
      </c>
      <c r="J493" s="341">
        <v>0</v>
      </c>
      <c r="K493" s="341">
        <v>0</v>
      </c>
      <c r="L493" s="341">
        <v>0</v>
      </c>
      <c r="M493" s="341">
        <v>0</v>
      </c>
      <c r="N493" s="341">
        <v>0</v>
      </c>
      <c r="O493" s="82"/>
      <c r="P493" s="86"/>
    </row>
    <row r="494" spans="1:16">
      <c r="A494" s="100"/>
      <c r="B494" s="85"/>
      <c r="C494" s="100" t="s">
        <v>85</v>
      </c>
      <c r="D494" s="341">
        <v>0</v>
      </c>
      <c r="E494" s="341">
        <v>0</v>
      </c>
      <c r="F494" s="341">
        <v>0</v>
      </c>
      <c r="G494" s="341">
        <v>0</v>
      </c>
      <c r="H494" s="341">
        <v>0</v>
      </c>
      <c r="I494" s="341">
        <v>0</v>
      </c>
      <c r="J494" s="341">
        <v>0</v>
      </c>
      <c r="K494" s="341">
        <v>0</v>
      </c>
      <c r="L494" s="341">
        <v>0</v>
      </c>
      <c r="M494" s="341">
        <v>0</v>
      </c>
      <c r="N494" s="341">
        <v>0</v>
      </c>
      <c r="O494" s="82"/>
      <c r="P494" s="86"/>
    </row>
    <row r="495" spans="1:16">
      <c r="A495" s="100"/>
      <c r="B495" s="85"/>
      <c r="C495" s="100" t="s">
        <v>86</v>
      </c>
      <c r="D495" s="341">
        <v>0</v>
      </c>
      <c r="E495" s="341">
        <v>0</v>
      </c>
      <c r="F495" s="341">
        <v>0</v>
      </c>
      <c r="G495" s="341">
        <v>0</v>
      </c>
      <c r="H495" s="341">
        <v>0</v>
      </c>
      <c r="I495" s="341">
        <v>0</v>
      </c>
      <c r="J495" s="341">
        <v>0</v>
      </c>
      <c r="K495" s="341">
        <v>0</v>
      </c>
      <c r="L495" s="341">
        <v>0</v>
      </c>
      <c r="M495" s="341">
        <v>0</v>
      </c>
      <c r="N495" s="341">
        <v>0</v>
      </c>
      <c r="O495" s="82"/>
      <c r="P495" s="86"/>
    </row>
    <row r="496" spans="1:16">
      <c r="A496" s="100"/>
      <c r="B496" s="85"/>
      <c r="C496" s="100" t="s">
        <v>87</v>
      </c>
      <c r="D496" s="341">
        <v>0</v>
      </c>
      <c r="E496" s="341">
        <v>0</v>
      </c>
      <c r="F496" s="341">
        <v>0</v>
      </c>
      <c r="G496" s="341">
        <v>0</v>
      </c>
      <c r="H496" s="341">
        <v>0</v>
      </c>
      <c r="I496" s="341">
        <v>0</v>
      </c>
      <c r="J496" s="341">
        <v>0</v>
      </c>
      <c r="K496" s="341">
        <v>0</v>
      </c>
      <c r="L496" s="341">
        <v>0</v>
      </c>
      <c r="M496" s="341">
        <v>0</v>
      </c>
      <c r="N496" s="341">
        <v>0</v>
      </c>
      <c r="O496" s="82"/>
      <c r="P496" s="86"/>
    </row>
    <row r="497" spans="1:16">
      <c r="A497" s="100"/>
      <c r="B497" s="85"/>
      <c r="C497" s="100" t="s">
        <v>88</v>
      </c>
      <c r="D497" s="341">
        <v>0</v>
      </c>
      <c r="E497" s="341">
        <v>0</v>
      </c>
      <c r="F497" s="341">
        <v>0</v>
      </c>
      <c r="G497" s="341">
        <v>0</v>
      </c>
      <c r="H497" s="341">
        <v>0</v>
      </c>
      <c r="I497" s="341">
        <v>0</v>
      </c>
      <c r="J497" s="341">
        <v>0</v>
      </c>
      <c r="K497" s="341">
        <v>0</v>
      </c>
      <c r="L497" s="341">
        <v>0</v>
      </c>
      <c r="M497" s="341">
        <v>0</v>
      </c>
      <c r="N497" s="341">
        <v>0</v>
      </c>
      <c r="O497" s="82"/>
      <c r="P497" s="86"/>
    </row>
    <row r="498" spans="1:16">
      <c r="A498" s="100"/>
      <c r="B498" s="85"/>
      <c r="C498" s="100" t="s">
        <v>89</v>
      </c>
      <c r="D498" s="341">
        <v>0</v>
      </c>
      <c r="E498" s="341">
        <v>0</v>
      </c>
      <c r="F498" s="341">
        <v>0</v>
      </c>
      <c r="G498" s="341">
        <v>0</v>
      </c>
      <c r="H498" s="341">
        <v>0</v>
      </c>
      <c r="I498" s="341">
        <v>0</v>
      </c>
      <c r="J498" s="341">
        <v>0</v>
      </c>
      <c r="K498" s="341">
        <v>0</v>
      </c>
      <c r="L498" s="341">
        <v>0</v>
      </c>
      <c r="M498" s="341">
        <v>0</v>
      </c>
      <c r="N498" s="341">
        <v>0</v>
      </c>
      <c r="O498" s="82"/>
      <c r="P498" s="86"/>
    </row>
    <row r="499" spans="1:16">
      <c r="A499" s="100"/>
      <c r="B499" s="85"/>
      <c r="C499" s="100" t="s">
        <v>90</v>
      </c>
      <c r="D499" s="341">
        <v>0</v>
      </c>
      <c r="E499" s="341">
        <v>0</v>
      </c>
      <c r="F499" s="341">
        <v>0</v>
      </c>
      <c r="G499" s="341">
        <v>0</v>
      </c>
      <c r="H499" s="341">
        <v>0</v>
      </c>
      <c r="I499" s="341">
        <v>0</v>
      </c>
      <c r="J499" s="341">
        <v>0</v>
      </c>
      <c r="K499" s="341">
        <v>0</v>
      </c>
      <c r="L499" s="341">
        <v>0</v>
      </c>
      <c r="M499" s="341">
        <v>0</v>
      </c>
      <c r="N499" s="341">
        <v>0</v>
      </c>
      <c r="O499" s="82"/>
      <c r="P499" s="86"/>
    </row>
    <row r="500" spans="1:16">
      <c r="A500" s="100"/>
      <c r="B500" s="85"/>
      <c r="C500" s="100" t="s">
        <v>91</v>
      </c>
      <c r="D500" s="341">
        <v>0</v>
      </c>
      <c r="E500" s="341">
        <v>0</v>
      </c>
      <c r="F500" s="341">
        <v>0</v>
      </c>
      <c r="G500" s="341">
        <v>0</v>
      </c>
      <c r="H500" s="341">
        <v>0</v>
      </c>
      <c r="I500" s="341">
        <v>0</v>
      </c>
      <c r="J500" s="341">
        <v>0</v>
      </c>
      <c r="K500" s="341">
        <v>0</v>
      </c>
      <c r="L500" s="341">
        <v>0</v>
      </c>
      <c r="M500" s="341">
        <v>0</v>
      </c>
      <c r="N500" s="341">
        <v>0</v>
      </c>
      <c r="O500" s="82"/>
      <c r="P500" s="86"/>
    </row>
    <row r="501" spans="1:16">
      <c r="A501" s="100"/>
      <c r="B501" s="85"/>
      <c r="C501" s="100" t="s">
        <v>92</v>
      </c>
      <c r="D501" s="341">
        <v>0</v>
      </c>
      <c r="E501" s="341">
        <v>0</v>
      </c>
      <c r="F501" s="341">
        <v>0</v>
      </c>
      <c r="G501" s="341">
        <v>0</v>
      </c>
      <c r="H501" s="341">
        <v>0</v>
      </c>
      <c r="I501" s="341">
        <v>0</v>
      </c>
      <c r="J501" s="341">
        <v>0</v>
      </c>
      <c r="K501" s="341">
        <v>0</v>
      </c>
      <c r="L501" s="341">
        <v>0</v>
      </c>
      <c r="M501" s="341">
        <v>0</v>
      </c>
      <c r="N501" s="341">
        <v>0</v>
      </c>
      <c r="O501" s="82"/>
      <c r="P501" s="86"/>
    </row>
    <row r="502" spans="1:16">
      <c r="A502" s="100"/>
      <c r="B502" s="85"/>
      <c r="C502" s="100" t="s">
        <v>95</v>
      </c>
      <c r="D502" s="341">
        <v>0</v>
      </c>
      <c r="E502" s="341">
        <v>1</v>
      </c>
      <c r="F502" s="341">
        <v>0</v>
      </c>
      <c r="G502" s="341">
        <v>0</v>
      </c>
      <c r="H502" s="341">
        <v>0</v>
      </c>
      <c r="I502" s="341">
        <v>0</v>
      </c>
      <c r="J502" s="341">
        <v>0</v>
      </c>
      <c r="K502" s="341">
        <v>0</v>
      </c>
      <c r="L502" s="341">
        <v>0</v>
      </c>
      <c r="M502" s="341">
        <v>0</v>
      </c>
      <c r="N502" s="341">
        <v>0</v>
      </c>
      <c r="O502" s="82"/>
      <c r="P502" s="86"/>
    </row>
    <row r="503" spans="1:16">
      <c r="A503" s="100"/>
      <c r="B503" s="85"/>
      <c r="C503" s="100" t="s">
        <v>96</v>
      </c>
      <c r="D503" s="341">
        <v>0</v>
      </c>
      <c r="E503" s="341">
        <v>0</v>
      </c>
      <c r="F503" s="341">
        <v>0</v>
      </c>
      <c r="G503" s="341">
        <v>0</v>
      </c>
      <c r="H503" s="341">
        <v>0</v>
      </c>
      <c r="I503" s="341">
        <v>0</v>
      </c>
      <c r="J503" s="341">
        <v>0</v>
      </c>
      <c r="K503" s="341">
        <v>0</v>
      </c>
      <c r="L503" s="341">
        <v>0</v>
      </c>
      <c r="M503" s="341">
        <v>0</v>
      </c>
      <c r="N503" s="341">
        <v>0</v>
      </c>
      <c r="O503" s="82"/>
      <c r="P503" s="86"/>
    </row>
    <row r="504" spans="1:16">
      <c r="A504" s="100"/>
      <c r="B504" s="85"/>
      <c r="C504" s="100" t="s">
        <v>93</v>
      </c>
      <c r="D504" s="341">
        <v>0</v>
      </c>
      <c r="E504" s="341">
        <v>0</v>
      </c>
      <c r="F504" s="341">
        <v>0</v>
      </c>
      <c r="G504" s="341">
        <v>0</v>
      </c>
      <c r="H504" s="341">
        <v>0</v>
      </c>
      <c r="I504" s="341">
        <v>0</v>
      </c>
      <c r="J504" s="341">
        <v>0</v>
      </c>
      <c r="K504" s="341">
        <v>0</v>
      </c>
      <c r="L504" s="341">
        <v>0</v>
      </c>
      <c r="M504" s="341">
        <v>0</v>
      </c>
      <c r="N504" s="341">
        <v>0</v>
      </c>
      <c r="O504" s="82"/>
      <c r="P504" s="86"/>
    </row>
    <row r="505" spans="1:16">
      <c r="A505" s="100"/>
      <c r="B505" s="85"/>
      <c r="C505" s="100" t="s">
        <v>97</v>
      </c>
      <c r="D505" s="341">
        <v>0</v>
      </c>
      <c r="E505" s="341">
        <v>0</v>
      </c>
      <c r="F505" s="341">
        <v>0</v>
      </c>
      <c r="G505" s="341">
        <v>0</v>
      </c>
      <c r="H505" s="341">
        <v>0</v>
      </c>
      <c r="I505" s="341">
        <v>0</v>
      </c>
      <c r="J505" s="341">
        <v>0</v>
      </c>
      <c r="K505" s="341">
        <v>0</v>
      </c>
      <c r="L505" s="341">
        <v>0</v>
      </c>
      <c r="M505" s="341">
        <v>0</v>
      </c>
      <c r="N505" s="341">
        <v>0</v>
      </c>
      <c r="O505" s="82"/>
      <c r="P505" s="86"/>
    </row>
    <row r="506" spans="1:16">
      <c r="A506" s="100"/>
      <c r="B506" s="85"/>
      <c r="C506" s="4" t="s">
        <v>136</v>
      </c>
      <c r="D506" s="341">
        <v>0</v>
      </c>
      <c r="E506" s="341">
        <v>0</v>
      </c>
      <c r="F506" s="341">
        <v>0</v>
      </c>
      <c r="G506" s="341">
        <v>0</v>
      </c>
      <c r="H506" s="341">
        <v>0</v>
      </c>
      <c r="I506" s="341">
        <v>0</v>
      </c>
      <c r="J506" s="341">
        <v>0</v>
      </c>
      <c r="K506" s="341">
        <v>0</v>
      </c>
      <c r="L506" s="341">
        <v>0</v>
      </c>
      <c r="M506" s="341">
        <v>0</v>
      </c>
      <c r="N506" s="341">
        <v>0</v>
      </c>
      <c r="O506" s="82"/>
      <c r="P506" s="86"/>
    </row>
    <row r="507" spans="1:16">
      <c r="A507" s="100"/>
      <c r="B507" s="85" t="s">
        <v>169</v>
      </c>
      <c r="C507" s="100" t="s">
        <v>102</v>
      </c>
      <c r="D507" s="341">
        <v>0</v>
      </c>
      <c r="E507" s="341">
        <v>0</v>
      </c>
      <c r="F507" s="341">
        <v>0</v>
      </c>
      <c r="G507" s="341">
        <v>0</v>
      </c>
      <c r="H507" s="341">
        <v>0</v>
      </c>
      <c r="I507" s="341">
        <v>0</v>
      </c>
      <c r="J507" s="341">
        <v>0</v>
      </c>
      <c r="K507" s="341">
        <v>0</v>
      </c>
      <c r="L507" s="341">
        <v>0</v>
      </c>
      <c r="M507" s="341">
        <v>0</v>
      </c>
      <c r="N507" s="341">
        <v>0</v>
      </c>
      <c r="O507" s="82"/>
      <c r="P507" s="86"/>
    </row>
    <row r="508" spans="1:16">
      <c r="A508" s="100"/>
      <c r="B508" s="85"/>
      <c r="C508" s="100" t="s">
        <v>98</v>
      </c>
      <c r="D508" s="341">
        <v>0</v>
      </c>
      <c r="E508" s="341">
        <v>0</v>
      </c>
      <c r="F508" s="341">
        <v>0</v>
      </c>
      <c r="G508" s="341">
        <v>0</v>
      </c>
      <c r="H508" s="341">
        <v>0</v>
      </c>
      <c r="I508" s="341">
        <v>0</v>
      </c>
      <c r="J508" s="341">
        <v>0</v>
      </c>
      <c r="K508" s="341">
        <v>0</v>
      </c>
      <c r="L508" s="341">
        <v>0</v>
      </c>
      <c r="M508" s="341">
        <v>0</v>
      </c>
      <c r="N508" s="341">
        <v>0</v>
      </c>
      <c r="O508" s="82"/>
      <c r="P508" s="86"/>
    </row>
    <row r="509" spans="1:16">
      <c r="A509" s="100"/>
      <c r="B509" s="85"/>
      <c r="C509" s="100" t="s">
        <v>99</v>
      </c>
      <c r="D509" s="341">
        <v>0</v>
      </c>
      <c r="E509" s="341">
        <v>0</v>
      </c>
      <c r="F509" s="341">
        <v>0</v>
      </c>
      <c r="G509" s="341">
        <v>0</v>
      </c>
      <c r="H509" s="341">
        <v>0</v>
      </c>
      <c r="I509" s="341">
        <v>0</v>
      </c>
      <c r="J509" s="341">
        <v>0</v>
      </c>
      <c r="K509" s="341">
        <v>0</v>
      </c>
      <c r="L509" s="341">
        <v>0</v>
      </c>
      <c r="M509" s="341">
        <v>0</v>
      </c>
      <c r="N509" s="341">
        <v>0</v>
      </c>
      <c r="O509" s="82"/>
      <c r="P509" s="86"/>
    </row>
    <row r="510" spans="1:16">
      <c r="A510" s="100"/>
      <c r="B510" s="85"/>
      <c r="C510" s="100" t="s">
        <v>83</v>
      </c>
      <c r="D510" s="341">
        <v>1</v>
      </c>
      <c r="E510" s="341">
        <v>1</v>
      </c>
      <c r="F510" s="341">
        <v>0</v>
      </c>
      <c r="G510" s="341">
        <v>0</v>
      </c>
      <c r="H510" s="341">
        <v>0</v>
      </c>
      <c r="I510" s="341">
        <v>0</v>
      </c>
      <c r="J510" s="341">
        <v>0</v>
      </c>
      <c r="K510" s="341">
        <v>0</v>
      </c>
      <c r="L510" s="341">
        <v>0</v>
      </c>
      <c r="M510" s="341">
        <v>0</v>
      </c>
      <c r="N510" s="341">
        <v>0</v>
      </c>
      <c r="O510" s="82"/>
      <c r="P510" s="86"/>
    </row>
    <row r="511" spans="1:16">
      <c r="A511" s="100"/>
      <c r="B511" s="85"/>
      <c r="C511" s="100" t="s">
        <v>84</v>
      </c>
      <c r="D511" s="341">
        <v>1</v>
      </c>
      <c r="E511" s="341">
        <v>0</v>
      </c>
      <c r="F511" s="341">
        <v>0</v>
      </c>
      <c r="G511" s="341">
        <v>0</v>
      </c>
      <c r="H511" s="341">
        <v>0</v>
      </c>
      <c r="I511" s="341">
        <v>0</v>
      </c>
      <c r="J511" s="341">
        <v>1</v>
      </c>
      <c r="K511" s="341">
        <v>0</v>
      </c>
      <c r="L511" s="341">
        <v>0</v>
      </c>
      <c r="M511" s="341">
        <v>0</v>
      </c>
      <c r="N511" s="341">
        <v>0</v>
      </c>
      <c r="O511" s="82"/>
      <c r="P511" s="86"/>
    </row>
    <row r="512" spans="1:16">
      <c r="A512" s="100"/>
      <c r="B512" s="85"/>
      <c r="C512" s="100" t="s">
        <v>85</v>
      </c>
      <c r="D512" s="341">
        <v>2</v>
      </c>
      <c r="E512" s="341">
        <v>1</v>
      </c>
      <c r="F512" s="341">
        <v>0</v>
      </c>
      <c r="G512" s="341">
        <v>1</v>
      </c>
      <c r="H512" s="341">
        <v>0</v>
      </c>
      <c r="I512" s="341">
        <v>0</v>
      </c>
      <c r="J512" s="341">
        <v>0</v>
      </c>
      <c r="K512" s="341">
        <v>0</v>
      </c>
      <c r="L512" s="341">
        <v>0</v>
      </c>
      <c r="M512" s="341">
        <v>0</v>
      </c>
      <c r="N512" s="341">
        <v>0</v>
      </c>
      <c r="O512" s="82"/>
      <c r="P512" s="86"/>
    </row>
    <row r="513" spans="1:16">
      <c r="A513" s="100"/>
      <c r="B513" s="85"/>
      <c r="C513" s="100" t="s">
        <v>86</v>
      </c>
      <c r="D513" s="341">
        <v>6</v>
      </c>
      <c r="E513" s="341">
        <v>2</v>
      </c>
      <c r="F513" s="341">
        <v>0</v>
      </c>
      <c r="G513" s="341">
        <v>0</v>
      </c>
      <c r="H513" s="341">
        <v>0</v>
      </c>
      <c r="I513" s="341">
        <v>0</v>
      </c>
      <c r="J513" s="341">
        <v>0</v>
      </c>
      <c r="K513" s="341">
        <v>0</v>
      </c>
      <c r="L513" s="341">
        <v>0</v>
      </c>
      <c r="M513" s="341">
        <v>0</v>
      </c>
      <c r="N513" s="341">
        <v>0</v>
      </c>
      <c r="O513" s="82"/>
      <c r="P513" s="86"/>
    </row>
    <row r="514" spans="1:16">
      <c r="A514" s="100"/>
      <c r="B514" s="85"/>
      <c r="C514" s="100" t="s">
        <v>87</v>
      </c>
      <c r="D514" s="341">
        <v>11</v>
      </c>
      <c r="E514" s="341">
        <v>4</v>
      </c>
      <c r="F514" s="341">
        <v>0</v>
      </c>
      <c r="G514" s="341">
        <v>0</v>
      </c>
      <c r="H514" s="341">
        <v>0</v>
      </c>
      <c r="I514" s="341">
        <v>0</v>
      </c>
      <c r="J514" s="341">
        <v>0</v>
      </c>
      <c r="K514" s="341">
        <v>0</v>
      </c>
      <c r="L514" s="341">
        <v>0</v>
      </c>
      <c r="M514" s="341">
        <v>0</v>
      </c>
      <c r="N514" s="341">
        <v>0</v>
      </c>
      <c r="O514" s="82"/>
      <c r="P514" s="86"/>
    </row>
    <row r="515" spans="1:16">
      <c r="A515" s="100"/>
      <c r="B515" s="85"/>
      <c r="C515" s="100" t="s">
        <v>88</v>
      </c>
      <c r="D515" s="341">
        <v>4</v>
      </c>
      <c r="E515" s="341">
        <v>2</v>
      </c>
      <c r="F515" s="341">
        <v>1</v>
      </c>
      <c r="G515" s="341">
        <v>0</v>
      </c>
      <c r="H515" s="341">
        <v>0</v>
      </c>
      <c r="I515" s="341">
        <v>0</v>
      </c>
      <c r="J515" s="341">
        <v>0</v>
      </c>
      <c r="K515" s="341">
        <v>0</v>
      </c>
      <c r="L515" s="341">
        <v>0</v>
      </c>
      <c r="M515" s="341">
        <v>0</v>
      </c>
      <c r="N515" s="341">
        <v>0</v>
      </c>
      <c r="O515" s="82"/>
      <c r="P515" s="86"/>
    </row>
    <row r="516" spans="1:16">
      <c r="A516" s="100"/>
      <c r="B516" s="85"/>
      <c r="C516" s="100" t="s">
        <v>89</v>
      </c>
      <c r="D516" s="341">
        <v>2</v>
      </c>
      <c r="E516" s="341">
        <v>3</v>
      </c>
      <c r="F516" s="341">
        <v>2</v>
      </c>
      <c r="G516" s="341">
        <v>1</v>
      </c>
      <c r="H516" s="341">
        <v>1</v>
      </c>
      <c r="I516" s="341">
        <v>1</v>
      </c>
      <c r="J516" s="341">
        <v>0</v>
      </c>
      <c r="K516" s="341">
        <v>0</v>
      </c>
      <c r="L516" s="341">
        <v>0</v>
      </c>
      <c r="M516" s="341">
        <v>0</v>
      </c>
      <c r="N516" s="341">
        <v>0</v>
      </c>
      <c r="O516" s="82"/>
      <c r="P516" s="86"/>
    </row>
    <row r="517" spans="1:16">
      <c r="A517" s="100"/>
      <c r="B517" s="85"/>
      <c r="C517" s="100" t="s">
        <v>90</v>
      </c>
      <c r="D517" s="341">
        <v>0</v>
      </c>
      <c r="E517" s="341">
        <v>1</v>
      </c>
      <c r="F517" s="341">
        <v>1</v>
      </c>
      <c r="G517" s="341">
        <v>0</v>
      </c>
      <c r="H517" s="341">
        <v>0</v>
      </c>
      <c r="I517" s="341">
        <v>0</v>
      </c>
      <c r="J517" s="341">
        <v>0</v>
      </c>
      <c r="K517" s="341">
        <v>0</v>
      </c>
      <c r="L517" s="341">
        <v>0</v>
      </c>
      <c r="M517" s="341">
        <v>0</v>
      </c>
      <c r="N517" s="341">
        <v>0</v>
      </c>
      <c r="O517" s="82"/>
      <c r="P517" s="86"/>
    </row>
    <row r="518" spans="1:16">
      <c r="A518" s="100"/>
      <c r="B518" s="85"/>
      <c r="C518" s="100" t="s">
        <v>91</v>
      </c>
      <c r="D518" s="341">
        <v>1</v>
      </c>
      <c r="E518" s="341">
        <v>0</v>
      </c>
      <c r="F518" s="341">
        <v>0</v>
      </c>
      <c r="G518" s="341">
        <v>1</v>
      </c>
      <c r="H518" s="341">
        <v>0</v>
      </c>
      <c r="I518" s="341">
        <v>0</v>
      </c>
      <c r="J518" s="341">
        <v>0</v>
      </c>
      <c r="K518" s="341">
        <v>0</v>
      </c>
      <c r="L518" s="341">
        <v>0</v>
      </c>
      <c r="M518" s="341">
        <v>0</v>
      </c>
      <c r="N518" s="341">
        <v>0</v>
      </c>
      <c r="O518" s="82"/>
      <c r="P518" s="86"/>
    </row>
    <row r="519" spans="1:16">
      <c r="A519" s="100"/>
      <c r="B519" s="85"/>
      <c r="C519" s="100" t="s">
        <v>92</v>
      </c>
      <c r="D519" s="341">
        <v>0</v>
      </c>
      <c r="E519" s="341">
        <v>0</v>
      </c>
      <c r="F519" s="341">
        <v>0</v>
      </c>
      <c r="G519" s="341">
        <v>0</v>
      </c>
      <c r="H519" s="341">
        <v>0</v>
      </c>
      <c r="I519" s="341">
        <v>0</v>
      </c>
      <c r="J519" s="341">
        <v>0</v>
      </c>
      <c r="K519" s="341">
        <v>0</v>
      </c>
      <c r="L519" s="341">
        <v>0</v>
      </c>
      <c r="M519" s="341">
        <v>0</v>
      </c>
      <c r="N519" s="341">
        <v>0</v>
      </c>
      <c r="O519" s="82"/>
      <c r="P519" s="86"/>
    </row>
    <row r="520" spans="1:16">
      <c r="A520" s="100"/>
      <c r="B520" s="85"/>
      <c r="C520" s="100" t="s">
        <v>95</v>
      </c>
      <c r="D520" s="341">
        <v>1</v>
      </c>
      <c r="E520" s="341">
        <v>0</v>
      </c>
      <c r="F520" s="341">
        <v>0</v>
      </c>
      <c r="G520" s="341">
        <v>0</v>
      </c>
      <c r="H520" s="341">
        <v>0</v>
      </c>
      <c r="I520" s="341">
        <v>1</v>
      </c>
      <c r="J520" s="341">
        <v>0</v>
      </c>
      <c r="K520" s="341">
        <v>0</v>
      </c>
      <c r="L520" s="341">
        <v>0</v>
      </c>
      <c r="M520" s="341">
        <v>0</v>
      </c>
      <c r="N520" s="341">
        <v>0</v>
      </c>
      <c r="O520" s="82"/>
      <c r="P520" s="86"/>
    </row>
    <row r="521" spans="1:16">
      <c r="A521" s="100"/>
      <c r="B521" s="85"/>
      <c r="C521" s="100" t="s">
        <v>96</v>
      </c>
      <c r="D521" s="341">
        <v>0</v>
      </c>
      <c r="E521" s="341">
        <v>1</v>
      </c>
      <c r="F521" s="341">
        <v>0</v>
      </c>
      <c r="G521" s="341">
        <v>1</v>
      </c>
      <c r="H521" s="341">
        <v>0</v>
      </c>
      <c r="I521" s="341">
        <v>0</v>
      </c>
      <c r="J521" s="341">
        <v>0</v>
      </c>
      <c r="K521" s="341">
        <v>0</v>
      </c>
      <c r="L521" s="341">
        <v>0</v>
      </c>
      <c r="M521" s="341">
        <v>0</v>
      </c>
      <c r="N521" s="341">
        <v>0</v>
      </c>
      <c r="O521" s="82"/>
      <c r="P521" s="86"/>
    </row>
    <row r="522" spans="1:16">
      <c r="A522" s="100"/>
      <c r="B522" s="85"/>
      <c r="C522" s="100" t="s">
        <v>93</v>
      </c>
      <c r="D522" s="341">
        <v>1</v>
      </c>
      <c r="E522" s="341">
        <v>0</v>
      </c>
      <c r="F522" s="341">
        <v>1</v>
      </c>
      <c r="G522" s="341">
        <v>0</v>
      </c>
      <c r="H522" s="341">
        <v>1</v>
      </c>
      <c r="I522" s="341">
        <v>0</v>
      </c>
      <c r="J522" s="341">
        <v>0</v>
      </c>
      <c r="K522" s="341">
        <v>1</v>
      </c>
      <c r="L522" s="341">
        <v>0</v>
      </c>
      <c r="M522" s="341">
        <v>0</v>
      </c>
      <c r="N522" s="341">
        <v>0</v>
      </c>
      <c r="O522" s="82"/>
      <c r="P522" s="86"/>
    </row>
    <row r="523" spans="1:16">
      <c r="A523" s="100"/>
      <c r="B523" s="85"/>
      <c r="C523" s="100" t="s">
        <v>97</v>
      </c>
      <c r="D523" s="341">
        <v>0</v>
      </c>
      <c r="E523" s="341">
        <v>1</v>
      </c>
      <c r="F523" s="341">
        <v>0</v>
      </c>
      <c r="G523" s="341">
        <v>0</v>
      </c>
      <c r="H523" s="341">
        <v>0</v>
      </c>
      <c r="I523" s="341">
        <v>0</v>
      </c>
      <c r="J523" s="341">
        <v>0</v>
      </c>
      <c r="K523" s="341">
        <v>0</v>
      </c>
      <c r="L523" s="341">
        <v>0</v>
      </c>
      <c r="M523" s="341">
        <v>0</v>
      </c>
      <c r="N523" s="341">
        <v>0</v>
      </c>
      <c r="O523" s="82"/>
      <c r="P523" s="86"/>
    </row>
    <row r="524" spans="1:16">
      <c r="A524" s="100"/>
      <c r="B524" s="85"/>
      <c r="C524" s="4" t="s">
        <v>136</v>
      </c>
      <c r="D524" s="341">
        <v>0</v>
      </c>
      <c r="E524" s="341">
        <v>1</v>
      </c>
      <c r="F524" s="341">
        <v>0</v>
      </c>
      <c r="G524" s="341">
        <v>1</v>
      </c>
      <c r="H524" s="341">
        <v>0</v>
      </c>
      <c r="I524" s="341">
        <v>0</v>
      </c>
      <c r="J524" s="341">
        <v>0</v>
      </c>
      <c r="K524" s="341">
        <v>0</v>
      </c>
      <c r="L524" s="341">
        <v>0</v>
      </c>
      <c r="M524" s="341">
        <v>0</v>
      </c>
      <c r="N524" s="341">
        <v>0</v>
      </c>
      <c r="O524" s="82"/>
      <c r="P524" s="86"/>
    </row>
    <row r="525" spans="1:16">
      <c r="A525" s="100"/>
      <c r="B525" s="85" t="s">
        <v>170</v>
      </c>
      <c r="C525" s="100" t="s">
        <v>102</v>
      </c>
      <c r="D525" s="341">
        <v>0</v>
      </c>
      <c r="E525" s="341">
        <v>0</v>
      </c>
      <c r="F525" s="341">
        <v>0</v>
      </c>
      <c r="G525" s="341">
        <v>0</v>
      </c>
      <c r="H525" s="341">
        <v>0</v>
      </c>
      <c r="I525" s="341">
        <v>0</v>
      </c>
      <c r="J525" s="341">
        <v>0</v>
      </c>
      <c r="K525" s="341">
        <v>0</v>
      </c>
      <c r="L525" s="341">
        <v>0</v>
      </c>
      <c r="M525" s="341">
        <v>0</v>
      </c>
      <c r="N525" s="341">
        <v>0</v>
      </c>
      <c r="O525" s="82"/>
      <c r="P525" s="86"/>
    </row>
    <row r="526" spans="1:16">
      <c r="A526" s="100"/>
      <c r="B526" s="85"/>
      <c r="C526" s="100" t="s">
        <v>98</v>
      </c>
      <c r="D526" s="341">
        <v>0</v>
      </c>
      <c r="E526" s="341">
        <v>0</v>
      </c>
      <c r="F526" s="341">
        <v>0</v>
      </c>
      <c r="G526" s="341">
        <v>0</v>
      </c>
      <c r="H526" s="341">
        <v>0</v>
      </c>
      <c r="I526" s="341">
        <v>0</v>
      </c>
      <c r="J526" s="341">
        <v>0</v>
      </c>
      <c r="K526" s="341">
        <v>0</v>
      </c>
      <c r="L526" s="341">
        <v>0</v>
      </c>
      <c r="M526" s="341">
        <v>0</v>
      </c>
      <c r="N526" s="341">
        <v>0</v>
      </c>
      <c r="O526" s="82"/>
      <c r="P526" s="86"/>
    </row>
    <row r="527" spans="1:16">
      <c r="A527" s="100"/>
      <c r="B527" s="85"/>
      <c r="C527" s="100" t="s">
        <v>99</v>
      </c>
      <c r="D527" s="341">
        <v>0</v>
      </c>
      <c r="E527" s="341">
        <v>0</v>
      </c>
      <c r="F527" s="341">
        <v>0</v>
      </c>
      <c r="G527" s="341">
        <v>0</v>
      </c>
      <c r="H527" s="341">
        <v>0</v>
      </c>
      <c r="I527" s="341">
        <v>0</v>
      </c>
      <c r="J527" s="341">
        <v>0</v>
      </c>
      <c r="K527" s="341">
        <v>0</v>
      </c>
      <c r="L527" s="341">
        <v>0</v>
      </c>
      <c r="M527" s="341">
        <v>0</v>
      </c>
      <c r="N527" s="341">
        <v>0</v>
      </c>
      <c r="O527" s="82"/>
      <c r="P527" s="86"/>
    </row>
    <row r="528" spans="1:16">
      <c r="A528" s="100"/>
      <c r="B528" s="85"/>
      <c r="C528" s="100" t="s">
        <v>83</v>
      </c>
      <c r="D528" s="341">
        <v>0</v>
      </c>
      <c r="E528" s="341">
        <v>0</v>
      </c>
      <c r="F528" s="341">
        <v>0</v>
      </c>
      <c r="G528" s="341">
        <v>0</v>
      </c>
      <c r="H528" s="341">
        <v>0</v>
      </c>
      <c r="I528" s="341">
        <v>0</v>
      </c>
      <c r="J528" s="341">
        <v>0</v>
      </c>
      <c r="K528" s="341">
        <v>0</v>
      </c>
      <c r="L528" s="341">
        <v>0</v>
      </c>
      <c r="M528" s="341">
        <v>0</v>
      </c>
      <c r="N528" s="341">
        <v>0</v>
      </c>
      <c r="O528" s="82"/>
      <c r="P528" s="86"/>
    </row>
    <row r="529" spans="1:16">
      <c r="A529" s="100"/>
      <c r="B529" s="85"/>
      <c r="C529" s="100" t="s">
        <v>84</v>
      </c>
      <c r="D529" s="341">
        <v>0</v>
      </c>
      <c r="E529" s="341">
        <v>0</v>
      </c>
      <c r="F529" s="341">
        <v>0</v>
      </c>
      <c r="G529" s="341">
        <v>0</v>
      </c>
      <c r="H529" s="341">
        <v>0</v>
      </c>
      <c r="I529" s="341">
        <v>0</v>
      </c>
      <c r="J529" s="341">
        <v>0</v>
      </c>
      <c r="K529" s="341">
        <v>0</v>
      </c>
      <c r="L529" s="341">
        <v>0</v>
      </c>
      <c r="M529" s="341">
        <v>0</v>
      </c>
      <c r="N529" s="341">
        <v>0</v>
      </c>
      <c r="O529" s="82"/>
      <c r="P529" s="86"/>
    </row>
    <row r="530" spans="1:16">
      <c r="A530" s="100"/>
      <c r="B530" s="85"/>
      <c r="C530" s="100" t="s">
        <v>85</v>
      </c>
      <c r="D530" s="341">
        <v>0</v>
      </c>
      <c r="E530" s="341">
        <v>0</v>
      </c>
      <c r="F530" s="341">
        <v>0</v>
      </c>
      <c r="G530" s="341">
        <v>0</v>
      </c>
      <c r="H530" s="341">
        <v>0</v>
      </c>
      <c r="I530" s="341">
        <v>0</v>
      </c>
      <c r="J530" s="341">
        <v>0</v>
      </c>
      <c r="K530" s="341">
        <v>0</v>
      </c>
      <c r="L530" s="341">
        <v>0</v>
      </c>
      <c r="M530" s="341">
        <v>0</v>
      </c>
      <c r="N530" s="341">
        <v>0</v>
      </c>
      <c r="O530" s="82"/>
      <c r="P530" s="86"/>
    </row>
    <row r="531" spans="1:16">
      <c r="A531" s="100"/>
      <c r="B531" s="85"/>
      <c r="C531" s="100" t="s">
        <v>86</v>
      </c>
      <c r="D531" s="341">
        <v>0</v>
      </c>
      <c r="E531" s="341">
        <v>0</v>
      </c>
      <c r="F531" s="341">
        <v>0</v>
      </c>
      <c r="G531" s="341">
        <v>0</v>
      </c>
      <c r="H531" s="341">
        <v>0</v>
      </c>
      <c r="I531" s="341">
        <v>0</v>
      </c>
      <c r="J531" s="341">
        <v>0</v>
      </c>
      <c r="K531" s="341">
        <v>0</v>
      </c>
      <c r="L531" s="341">
        <v>0</v>
      </c>
      <c r="M531" s="341">
        <v>0</v>
      </c>
      <c r="N531" s="341">
        <v>0</v>
      </c>
      <c r="O531" s="82"/>
      <c r="P531" s="86"/>
    </row>
    <row r="532" spans="1:16">
      <c r="A532" s="100"/>
      <c r="B532" s="85"/>
      <c r="C532" s="100" t="s">
        <v>87</v>
      </c>
      <c r="D532" s="341">
        <v>0</v>
      </c>
      <c r="E532" s="341">
        <v>0</v>
      </c>
      <c r="F532" s="341">
        <v>0</v>
      </c>
      <c r="G532" s="341">
        <v>0</v>
      </c>
      <c r="H532" s="341">
        <v>0</v>
      </c>
      <c r="I532" s="341">
        <v>0</v>
      </c>
      <c r="J532" s="341">
        <v>0</v>
      </c>
      <c r="K532" s="341">
        <v>0</v>
      </c>
      <c r="L532" s="341">
        <v>0</v>
      </c>
      <c r="M532" s="341">
        <v>0</v>
      </c>
      <c r="N532" s="341">
        <v>0</v>
      </c>
      <c r="O532" s="82"/>
      <c r="P532" s="86"/>
    </row>
    <row r="533" spans="1:16">
      <c r="A533" s="100"/>
      <c r="B533" s="85"/>
      <c r="C533" s="100" t="s">
        <v>88</v>
      </c>
      <c r="D533" s="341">
        <v>0</v>
      </c>
      <c r="E533" s="341">
        <v>0</v>
      </c>
      <c r="F533" s="341">
        <v>0</v>
      </c>
      <c r="G533" s="341">
        <v>0</v>
      </c>
      <c r="H533" s="341">
        <v>0</v>
      </c>
      <c r="I533" s="341">
        <v>0</v>
      </c>
      <c r="J533" s="341">
        <v>0</v>
      </c>
      <c r="K533" s="341">
        <v>0</v>
      </c>
      <c r="L533" s="341">
        <v>0</v>
      </c>
      <c r="M533" s="341">
        <v>0</v>
      </c>
      <c r="N533" s="341">
        <v>0</v>
      </c>
      <c r="O533" s="82"/>
      <c r="P533" s="86"/>
    </row>
    <row r="534" spans="1:16">
      <c r="A534" s="100"/>
      <c r="B534" s="85"/>
      <c r="C534" s="100" t="s">
        <v>89</v>
      </c>
      <c r="D534" s="341">
        <v>0</v>
      </c>
      <c r="E534" s="341">
        <v>0</v>
      </c>
      <c r="F534" s="341">
        <v>0</v>
      </c>
      <c r="G534" s="341">
        <v>0</v>
      </c>
      <c r="H534" s="341">
        <v>0</v>
      </c>
      <c r="I534" s="341">
        <v>0</v>
      </c>
      <c r="J534" s="341">
        <v>0</v>
      </c>
      <c r="K534" s="341">
        <v>0</v>
      </c>
      <c r="L534" s="341">
        <v>0</v>
      </c>
      <c r="M534" s="341">
        <v>0</v>
      </c>
      <c r="N534" s="341">
        <v>0</v>
      </c>
      <c r="O534" s="82"/>
      <c r="P534" s="86"/>
    </row>
    <row r="535" spans="1:16">
      <c r="A535" s="100"/>
      <c r="B535" s="85"/>
      <c r="C535" s="100" t="s">
        <v>90</v>
      </c>
      <c r="D535" s="341">
        <v>0</v>
      </c>
      <c r="E535" s="341">
        <v>0</v>
      </c>
      <c r="F535" s="341">
        <v>0</v>
      </c>
      <c r="G535" s="341">
        <v>0</v>
      </c>
      <c r="H535" s="341">
        <v>0</v>
      </c>
      <c r="I535" s="341">
        <v>0</v>
      </c>
      <c r="J535" s="341">
        <v>0</v>
      </c>
      <c r="K535" s="341">
        <v>0</v>
      </c>
      <c r="L535" s="341">
        <v>0</v>
      </c>
      <c r="M535" s="341">
        <v>0</v>
      </c>
      <c r="N535" s="341">
        <v>0</v>
      </c>
      <c r="O535" s="82"/>
      <c r="P535" s="86"/>
    </row>
    <row r="536" spans="1:16">
      <c r="A536" s="100"/>
      <c r="B536" s="85"/>
      <c r="C536" s="100" t="s">
        <v>91</v>
      </c>
      <c r="D536" s="341">
        <v>0</v>
      </c>
      <c r="E536" s="341">
        <v>0</v>
      </c>
      <c r="F536" s="341">
        <v>0</v>
      </c>
      <c r="G536" s="341">
        <v>0</v>
      </c>
      <c r="H536" s="341">
        <v>0</v>
      </c>
      <c r="I536" s="341">
        <v>0</v>
      </c>
      <c r="J536" s="341">
        <v>0</v>
      </c>
      <c r="K536" s="341">
        <v>0</v>
      </c>
      <c r="L536" s="341">
        <v>0</v>
      </c>
      <c r="M536" s="341">
        <v>0</v>
      </c>
      <c r="N536" s="341">
        <v>0</v>
      </c>
      <c r="O536" s="82"/>
      <c r="P536" s="86"/>
    </row>
    <row r="537" spans="1:16">
      <c r="A537" s="100"/>
      <c r="B537" s="85"/>
      <c r="C537" s="100" t="s">
        <v>92</v>
      </c>
      <c r="D537" s="341">
        <v>0</v>
      </c>
      <c r="E537" s="341">
        <v>0</v>
      </c>
      <c r="F537" s="341">
        <v>0</v>
      </c>
      <c r="G537" s="341">
        <v>0</v>
      </c>
      <c r="H537" s="341">
        <v>0</v>
      </c>
      <c r="I537" s="341">
        <v>0</v>
      </c>
      <c r="J537" s="341">
        <v>0</v>
      </c>
      <c r="K537" s="341">
        <v>0</v>
      </c>
      <c r="L537" s="341">
        <v>0</v>
      </c>
      <c r="M537" s="341">
        <v>0</v>
      </c>
      <c r="N537" s="341">
        <v>0</v>
      </c>
      <c r="O537" s="82"/>
      <c r="P537" s="86"/>
    </row>
    <row r="538" spans="1:16">
      <c r="A538" s="100"/>
      <c r="B538" s="85"/>
      <c r="C538" s="100" t="s">
        <v>95</v>
      </c>
      <c r="D538" s="341">
        <v>0</v>
      </c>
      <c r="E538" s="341">
        <v>0</v>
      </c>
      <c r="F538" s="341">
        <v>0</v>
      </c>
      <c r="G538" s="341">
        <v>0</v>
      </c>
      <c r="H538" s="341">
        <v>0</v>
      </c>
      <c r="I538" s="341">
        <v>0</v>
      </c>
      <c r="J538" s="341">
        <v>0</v>
      </c>
      <c r="K538" s="341">
        <v>0</v>
      </c>
      <c r="L538" s="341">
        <v>0</v>
      </c>
      <c r="M538" s="341">
        <v>0</v>
      </c>
      <c r="N538" s="341">
        <v>0</v>
      </c>
      <c r="O538" s="82"/>
      <c r="P538" s="86"/>
    </row>
    <row r="539" spans="1:16">
      <c r="A539" s="100"/>
      <c r="B539" s="85"/>
      <c r="C539" s="100" t="s">
        <v>96</v>
      </c>
      <c r="D539" s="341">
        <v>0</v>
      </c>
      <c r="E539" s="341">
        <v>0</v>
      </c>
      <c r="F539" s="341">
        <v>0</v>
      </c>
      <c r="G539" s="341">
        <v>0</v>
      </c>
      <c r="H539" s="341">
        <v>0</v>
      </c>
      <c r="I539" s="341">
        <v>0</v>
      </c>
      <c r="J539" s="341">
        <v>0</v>
      </c>
      <c r="K539" s="341">
        <v>0</v>
      </c>
      <c r="L539" s="341">
        <v>0</v>
      </c>
      <c r="M539" s="341">
        <v>0</v>
      </c>
      <c r="N539" s="341">
        <v>0</v>
      </c>
      <c r="O539" s="82"/>
      <c r="P539" s="86"/>
    </row>
    <row r="540" spans="1:16">
      <c r="A540" s="100"/>
      <c r="B540" s="85"/>
      <c r="C540" s="100" t="s">
        <v>93</v>
      </c>
      <c r="D540" s="341">
        <v>0</v>
      </c>
      <c r="E540" s="341">
        <v>0</v>
      </c>
      <c r="F540" s="341">
        <v>0</v>
      </c>
      <c r="G540" s="341">
        <v>0</v>
      </c>
      <c r="H540" s="341">
        <v>0</v>
      </c>
      <c r="I540" s="341">
        <v>0</v>
      </c>
      <c r="J540" s="341">
        <v>0</v>
      </c>
      <c r="K540" s="341">
        <v>0</v>
      </c>
      <c r="L540" s="341">
        <v>0</v>
      </c>
      <c r="M540" s="341">
        <v>0</v>
      </c>
      <c r="N540" s="341">
        <v>0</v>
      </c>
      <c r="O540" s="82"/>
      <c r="P540" s="86"/>
    </row>
    <row r="541" spans="1:16">
      <c r="A541" s="100"/>
      <c r="B541" s="85"/>
      <c r="C541" s="100" t="s">
        <v>97</v>
      </c>
      <c r="D541" s="341">
        <v>0</v>
      </c>
      <c r="E541" s="341">
        <v>0</v>
      </c>
      <c r="F541" s="341">
        <v>0</v>
      </c>
      <c r="G541" s="341">
        <v>0</v>
      </c>
      <c r="H541" s="341">
        <v>0</v>
      </c>
      <c r="I541" s="341">
        <v>0</v>
      </c>
      <c r="J541" s="341">
        <v>0</v>
      </c>
      <c r="K541" s="341">
        <v>0</v>
      </c>
      <c r="L541" s="341">
        <v>0</v>
      </c>
      <c r="M541" s="341">
        <v>0</v>
      </c>
      <c r="N541" s="341">
        <v>0</v>
      </c>
      <c r="O541" s="82"/>
      <c r="P541" s="86"/>
    </row>
    <row r="542" spans="1:16">
      <c r="A542" s="100"/>
      <c r="B542" s="85"/>
      <c r="C542" s="4" t="s">
        <v>136</v>
      </c>
      <c r="D542" s="341">
        <v>0</v>
      </c>
      <c r="E542" s="341">
        <v>0</v>
      </c>
      <c r="F542" s="341">
        <v>0</v>
      </c>
      <c r="G542" s="341">
        <v>0</v>
      </c>
      <c r="H542" s="341">
        <v>0</v>
      </c>
      <c r="I542" s="341">
        <v>0</v>
      </c>
      <c r="J542" s="341">
        <v>0</v>
      </c>
      <c r="K542" s="341">
        <v>0</v>
      </c>
      <c r="L542" s="341">
        <v>0</v>
      </c>
      <c r="M542" s="341">
        <v>0</v>
      </c>
      <c r="N542" s="341">
        <v>0</v>
      </c>
      <c r="O542" s="82"/>
      <c r="P542" s="86"/>
    </row>
    <row r="543" spans="1:16">
      <c r="A543" s="100"/>
      <c r="B543" s="85" t="s">
        <v>171</v>
      </c>
      <c r="C543" s="100" t="s">
        <v>102</v>
      </c>
      <c r="D543" s="341">
        <v>0</v>
      </c>
      <c r="E543" s="341">
        <v>0</v>
      </c>
      <c r="F543" s="341">
        <v>0</v>
      </c>
      <c r="G543" s="341">
        <v>0</v>
      </c>
      <c r="H543" s="341">
        <v>0</v>
      </c>
      <c r="I543" s="341">
        <v>0</v>
      </c>
      <c r="J543" s="341">
        <v>0</v>
      </c>
      <c r="K543" s="341">
        <v>0</v>
      </c>
      <c r="L543" s="341">
        <v>0</v>
      </c>
      <c r="M543" s="341">
        <v>0</v>
      </c>
      <c r="N543" s="341">
        <v>0</v>
      </c>
      <c r="O543" s="82"/>
      <c r="P543" s="86"/>
    </row>
    <row r="544" spans="1:16">
      <c r="A544" s="100"/>
      <c r="B544" s="85"/>
      <c r="C544" s="100" t="s">
        <v>98</v>
      </c>
      <c r="D544" s="341">
        <v>0</v>
      </c>
      <c r="E544" s="341">
        <v>0</v>
      </c>
      <c r="F544" s="341">
        <v>0</v>
      </c>
      <c r="G544" s="341">
        <v>0</v>
      </c>
      <c r="H544" s="341">
        <v>0</v>
      </c>
      <c r="I544" s="341">
        <v>0</v>
      </c>
      <c r="J544" s="341">
        <v>0</v>
      </c>
      <c r="K544" s="341">
        <v>0</v>
      </c>
      <c r="L544" s="341">
        <v>0</v>
      </c>
      <c r="M544" s="341">
        <v>0</v>
      </c>
      <c r="N544" s="341">
        <v>0</v>
      </c>
      <c r="O544" s="82"/>
      <c r="P544" s="86"/>
    </row>
    <row r="545" spans="1:16">
      <c r="A545" s="100"/>
      <c r="B545" s="85"/>
      <c r="C545" s="100" t="s">
        <v>99</v>
      </c>
      <c r="D545" s="341">
        <v>0</v>
      </c>
      <c r="E545" s="341">
        <v>0</v>
      </c>
      <c r="F545" s="341">
        <v>0</v>
      </c>
      <c r="G545" s="341">
        <v>0</v>
      </c>
      <c r="H545" s="341">
        <v>0</v>
      </c>
      <c r="I545" s="341">
        <v>0</v>
      </c>
      <c r="J545" s="341">
        <v>0</v>
      </c>
      <c r="K545" s="341">
        <v>0</v>
      </c>
      <c r="L545" s="341">
        <v>0</v>
      </c>
      <c r="M545" s="341">
        <v>0</v>
      </c>
      <c r="N545" s="341">
        <v>0</v>
      </c>
      <c r="O545" s="82"/>
      <c r="P545" s="86"/>
    </row>
    <row r="546" spans="1:16">
      <c r="A546" s="100"/>
      <c r="B546" s="85"/>
      <c r="C546" s="100" t="s">
        <v>83</v>
      </c>
      <c r="D546" s="341">
        <v>0</v>
      </c>
      <c r="E546" s="341">
        <v>0</v>
      </c>
      <c r="F546" s="341">
        <v>0</v>
      </c>
      <c r="G546" s="341">
        <v>0</v>
      </c>
      <c r="H546" s="341">
        <v>0</v>
      </c>
      <c r="I546" s="341">
        <v>0</v>
      </c>
      <c r="J546" s="341">
        <v>0</v>
      </c>
      <c r="K546" s="341">
        <v>0</v>
      </c>
      <c r="L546" s="341">
        <v>0</v>
      </c>
      <c r="M546" s="341">
        <v>0</v>
      </c>
      <c r="N546" s="341">
        <v>0</v>
      </c>
      <c r="O546" s="82"/>
      <c r="P546" s="86"/>
    </row>
    <row r="547" spans="1:16">
      <c r="A547" s="100"/>
      <c r="B547" s="85"/>
      <c r="C547" s="100" t="s">
        <v>84</v>
      </c>
      <c r="D547" s="341">
        <v>0</v>
      </c>
      <c r="E547" s="341">
        <v>0</v>
      </c>
      <c r="F547" s="341">
        <v>0</v>
      </c>
      <c r="G547" s="341">
        <v>0</v>
      </c>
      <c r="H547" s="341">
        <v>0</v>
      </c>
      <c r="I547" s="341">
        <v>0</v>
      </c>
      <c r="J547" s="341">
        <v>0</v>
      </c>
      <c r="K547" s="341">
        <v>0</v>
      </c>
      <c r="L547" s="341">
        <v>0</v>
      </c>
      <c r="M547" s="341">
        <v>0</v>
      </c>
      <c r="N547" s="341">
        <v>0</v>
      </c>
      <c r="O547" s="82"/>
      <c r="P547" s="86"/>
    </row>
    <row r="548" spans="1:16">
      <c r="A548" s="100"/>
      <c r="B548" s="85"/>
      <c r="C548" s="100" t="s">
        <v>85</v>
      </c>
      <c r="D548" s="341">
        <v>0</v>
      </c>
      <c r="E548" s="341">
        <v>0</v>
      </c>
      <c r="F548" s="341">
        <v>0</v>
      </c>
      <c r="G548" s="341">
        <v>0</v>
      </c>
      <c r="H548" s="341">
        <v>0</v>
      </c>
      <c r="I548" s="341">
        <v>0</v>
      </c>
      <c r="J548" s="341">
        <v>0</v>
      </c>
      <c r="K548" s="341">
        <v>0</v>
      </c>
      <c r="L548" s="341">
        <v>0</v>
      </c>
      <c r="M548" s="341">
        <v>0</v>
      </c>
      <c r="N548" s="341">
        <v>0</v>
      </c>
      <c r="O548" s="82"/>
      <c r="P548" s="86"/>
    </row>
    <row r="549" spans="1:16">
      <c r="A549" s="100"/>
      <c r="B549" s="85"/>
      <c r="C549" s="100" t="s">
        <v>86</v>
      </c>
      <c r="D549" s="341">
        <v>0</v>
      </c>
      <c r="E549" s="341">
        <v>0</v>
      </c>
      <c r="F549" s="341">
        <v>0</v>
      </c>
      <c r="G549" s="341">
        <v>0</v>
      </c>
      <c r="H549" s="341">
        <v>0</v>
      </c>
      <c r="I549" s="341">
        <v>0</v>
      </c>
      <c r="J549" s="341">
        <v>0</v>
      </c>
      <c r="K549" s="341">
        <v>0</v>
      </c>
      <c r="L549" s="341">
        <v>0</v>
      </c>
      <c r="M549" s="341">
        <v>0</v>
      </c>
      <c r="N549" s="341">
        <v>0</v>
      </c>
      <c r="O549" s="82"/>
      <c r="P549" s="86"/>
    </row>
    <row r="550" spans="1:16">
      <c r="A550" s="100"/>
      <c r="B550" s="85"/>
      <c r="C550" s="100" t="s">
        <v>87</v>
      </c>
      <c r="D550" s="341">
        <v>0</v>
      </c>
      <c r="E550" s="341">
        <v>0</v>
      </c>
      <c r="F550" s="341">
        <v>0</v>
      </c>
      <c r="G550" s="341">
        <v>0</v>
      </c>
      <c r="H550" s="341">
        <v>0</v>
      </c>
      <c r="I550" s="341">
        <v>0</v>
      </c>
      <c r="J550" s="341">
        <v>0</v>
      </c>
      <c r="K550" s="341">
        <v>0</v>
      </c>
      <c r="L550" s="341">
        <v>0</v>
      </c>
      <c r="M550" s="341">
        <v>0</v>
      </c>
      <c r="N550" s="341">
        <v>0</v>
      </c>
      <c r="O550" s="82"/>
      <c r="P550" s="86"/>
    </row>
    <row r="551" spans="1:16">
      <c r="A551" s="100"/>
      <c r="B551" s="85"/>
      <c r="C551" s="100" t="s">
        <v>88</v>
      </c>
      <c r="D551" s="341">
        <v>0</v>
      </c>
      <c r="E551" s="341">
        <v>0</v>
      </c>
      <c r="F551" s="341">
        <v>0</v>
      </c>
      <c r="G551" s="341">
        <v>0</v>
      </c>
      <c r="H551" s="341">
        <v>0</v>
      </c>
      <c r="I551" s="341">
        <v>0</v>
      </c>
      <c r="J551" s="341">
        <v>0</v>
      </c>
      <c r="K551" s="341">
        <v>0</v>
      </c>
      <c r="L551" s="341">
        <v>0</v>
      </c>
      <c r="M551" s="341">
        <v>0</v>
      </c>
      <c r="N551" s="341">
        <v>0</v>
      </c>
      <c r="O551" s="82"/>
      <c r="P551" s="86"/>
    </row>
    <row r="552" spans="1:16">
      <c r="A552" s="100"/>
      <c r="B552" s="85"/>
      <c r="C552" s="100" t="s">
        <v>89</v>
      </c>
      <c r="D552" s="341">
        <v>0</v>
      </c>
      <c r="E552" s="341">
        <v>0</v>
      </c>
      <c r="F552" s="341">
        <v>0</v>
      </c>
      <c r="G552" s="341">
        <v>0</v>
      </c>
      <c r="H552" s="341">
        <v>0</v>
      </c>
      <c r="I552" s="341">
        <v>0</v>
      </c>
      <c r="J552" s="341">
        <v>0</v>
      </c>
      <c r="K552" s="341">
        <v>0</v>
      </c>
      <c r="L552" s="341">
        <v>0</v>
      </c>
      <c r="M552" s="341">
        <v>0</v>
      </c>
      <c r="N552" s="341">
        <v>0</v>
      </c>
      <c r="O552" s="82"/>
      <c r="P552" s="86"/>
    </row>
    <row r="553" spans="1:16">
      <c r="A553" s="100"/>
      <c r="B553" s="85"/>
      <c r="C553" s="100" t="s">
        <v>90</v>
      </c>
      <c r="D553" s="341">
        <v>0</v>
      </c>
      <c r="E553" s="341">
        <v>0</v>
      </c>
      <c r="F553" s="341">
        <v>0</v>
      </c>
      <c r="G553" s="341">
        <v>0</v>
      </c>
      <c r="H553" s="341">
        <v>0</v>
      </c>
      <c r="I553" s="341">
        <v>0</v>
      </c>
      <c r="J553" s="341">
        <v>0</v>
      </c>
      <c r="K553" s="341">
        <v>0</v>
      </c>
      <c r="L553" s="341">
        <v>0</v>
      </c>
      <c r="M553" s="341">
        <v>0</v>
      </c>
      <c r="N553" s="341">
        <v>0</v>
      </c>
      <c r="O553" s="82"/>
      <c r="P553" s="86"/>
    </row>
    <row r="554" spans="1:16">
      <c r="A554" s="100"/>
      <c r="B554" s="85"/>
      <c r="C554" s="100" t="s">
        <v>91</v>
      </c>
      <c r="D554" s="341">
        <v>0</v>
      </c>
      <c r="E554" s="341">
        <v>0</v>
      </c>
      <c r="F554" s="341">
        <v>0</v>
      </c>
      <c r="G554" s="341">
        <v>0</v>
      </c>
      <c r="H554" s="341">
        <v>0</v>
      </c>
      <c r="I554" s="341">
        <v>0</v>
      </c>
      <c r="J554" s="341">
        <v>0</v>
      </c>
      <c r="K554" s="341">
        <v>0</v>
      </c>
      <c r="L554" s="341">
        <v>0</v>
      </c>
      <c r="M554" s="341">
        <v>0</v>
      </c>
      <c r="N554" s="341">
        <v>0</v>
      </c>
      <c r="O554" s="82"/>
      <c r="P554" s="86"/>
    </row>
    <row r="555" spans="1:16">
      <c r="A555" s="100"/>
      <c r="B555" s="85"/>
      <c r="C555" s="100" t="s">
        <v>92</v>
      </c>
      <c r="D555" s="341">
        <v>0</v>
      </c>
      <c r="E555" s="341">
        <v>0</v>
      </c>
      <c r="F555" s="341">
        <v>0</v>
      </c>
      <c r="G555" s="341">
        <v>0</v>
      </c>
      <c r="H555" s="341">
        <v>0</v>
      </c>
      <c r="I555" s="341">
        <v>0</v>
      </c>
      <c r="J555" s="341">
        <v>0</v>
      </c>
      <c r="K555" s="341">
        <v>0</v>
      </c>
      <c r="L555" s="341">
        <v>0</v>
      </c>
      <c r="M555" s="341">
        <v>0</v>
      </c>
      <c r="N555" s="341">
        <v>0</v>
      </c>
      <c r="O555" s="82"/>
      <c r="P555" s="86"/>
    </row>
    <row r="556" spans="1:16">
      <c r="A556" s="100"/>
      <c r="B556" s="85"/>
      <c r="C556" s="100" t="s">
        <v>95</v>
      </c>
      <c r="D556" s="341">
        <v>0</v>
      </c>
      <c r="E556" s="341">
        <v>0</v>
      </c>
      <c r="F556" s="341">
        <v>0</v>
      </c>
      <c r="G556" s="341">
        <v>0</v>
      </c>
      <c r="H556" s="341">
        <v>0</v>
      </c>
      <c r="I556" s="341">
        <v>0</v>
      </c>
      <c r="J556" s="341">
        <v>0</v>
      </c>
      <c r="K556" s="341">
        <v>0</v>
      </c>
      <c r="L556" s="341">
        <v>0</v>
      </c>
      <c r="M556" s="341">
        <v>0</v>
      </c>
      <c r="N556" s="341">
        <v>0</v>
      </c>
      <c r="O556" s="82"/>
      <c r="P556" s="86"/>
    </row>
    <row r="557" spans="1:16">
      <c r="A557" s="100"/>
      <c r="B557" s="85"/>
      <c r="C557" s="100" t="s">
        <v>96</v>
      </c>
      <c r="D557" s="341">
        <v>0</v>
      </c>
      <c r="E557" s="341">
        <v>0</v>
      </c>
      <c r="F557" s="341">
        <v>0</v>
      </c>
      <c r="G557" s="341">
        <v>0</v>
      </c>
      <c r="H557" s="341">
        <v>0</v>
      </c>
      <c r="I557" s="341">
        <v>0</v>
      </c>
      <c r="J557" s="341">
        <v>0</v>
      </c>
      <c r="K557" s="341">
        <v>0</v>
      </c>
      <c r="L557" s="341">
        <v>0</v>
      </c>
      <c r="M557" s="341">
        <v>0</v>
      </c>
      <c r="N557" s="341">
        <v>0</v>
      </c>
      <c r="O557" s="82"/>
      <c r="P557" s="86"/>
    </row>
    <row r="558" spans="1:16">
      <c r="A558" s="100"/>
      <c r="B558" s="85"/>
      <c r="C558" s="100" t="s">
        <v>93</v>
      </c>
      <c r="D558" s="341">
        <v>0</v>
      </c>
      <c r="E558" s="341">
        <v>0</v>
      </c>
      <c r="F558" s="341">
        <v>0</v>
      </c>
      <c r="G558" s="341">
        <v>0</v>
      </c>
      <c r="H558" s="341">
        <v>0</v>
      </c>
      <c r="I558" s="341">
        <v>0</v>
      </c>
      <c r="J558" s="341">
        <v>0</v>
      </c>
      <c r="K558" s="341">
        <v>0</v>
      </c>
      <c r="L558" s="341">
        <v>0</v>
      </c>
      <c r="M558" s="341">
        <v>0</v>
      </c>
      <c r="N558" s="341">
        <v>0</v>
      </c>
      <c r="O558" s="82"/>
      <c r="P558" s="86"/>
    </row>
    <row r="559" spans="1:16">
      <c r="A559" s="100"/>
      <c r="B559" s="85"/>
      <c r="C559" s="100" t="s">
        <v>97</v>
      </c>
      <c r="D559" s="341">
        <v>0</v>
      </c>
      <c r="E559" s="341">
        <v>0</v>
      </c>
      <c r="F559" s="341">
        <v>0</v>
      </c>
      <c r="G559" s="341">
        <v>0</v>
      </c>
      <c r="H559" s="341">
        <v>0</v>
      </c>
      <c r="I559" s="341">
        <v>0</v>
      </c>
      <c r="J559" s="341">
        <v>0</v>
      </c>
      <c r="K559" s="341">
        <v>0</v>
      </c>
      <c r="L559" s="341">
        <v>0</v>
      </c>
      <c r="M559" s="341">
        <v>0</v>
      </c>
      <c r="N559" s="341">
        <v>0</v>
      </c>
      <c r="O559" s="82"/>
      <c r="P559" s="86"/>
    </row>
    <row r="560" spans="1:16">
      <c r="A560" s="100"/>
      <c r="B560" s="85"/>
      <c r="C560" s="4" t="s">
        <v>136</v>
      </c>
      <c r="D560" s="341">
        <v>0</v>
      </c>
      <c r="E560" s="341">
        <v>0</v>
      </c>
      <c r="F560" s="341">
        <v>0</v>
      </c>
      <c r="G560" s="341">
        <v>0</v>
      </c>
      <c r="H560" s="341">
        <v>0</v>
      </c>
      <c r="I560" s="341">
        <v>0</v>
      </c>
      <c r="J560" s="341">
        <v>0</v>
      </c>
      <c r="K560" s="341">
        <v>0</v>
      </c>
      <c r="L560" s="341">
        <v>0</v>
      </c>
      <c r="M560" s="341">
        <v>0</v>
      </c>
      <c r="N560" s="341">
        <v>0</v>
      </c>
      <c r="O560" s="82"/>
      <c r="P560" s="86"/>
    </row>
    <row r="561" spans="1:16">
      <c r="A561" s="100"/>
      <c r="B561" s="85" t="s">
        <v>172</v>
      </c>
      <c r="C561" s="100" t="s">
        <v>102</v>
      </c>
      <c r="D561" s="341">
        <v>0</v>
      </c>
      <c r="E561" s="341">
        <v>0</v>
      </c>
      <c r="F561" s="341">
        <v>0</v>
      </c>
      <c r="G561" s="341">
        <v>0</v>
      </c>
      <c r="H561" s="341">
        <v>0</v>
      </c>
      <c r="I561" s="341">
        <v>0</v>
      </c>
      <c r="J561" s="341">
        <v>0</v>
      </c>
      <c r="K561" s="341">
        <v>0</v>
      </c>
      <c r="L561" s="341">
        <v>0</v>
      </c>
      <c r="M561" s="341">
        <v>0</v>
      </c>
      <c r="N561" s="341">
        <v>0</v>
      </c>
      <c r="O561" s="82"/>
      <c r="P561" s="86"/>
    </row>
    <row r="562" spans="1:16">
      <c r="A562" s="100"/>
      <c r="B562" s="85"/>
      <c r="C562" s="100" t="s">
        <v>98</v>
      </c>
      <c r="D562" s="341">
        <v>0</v>
      </c>
      <c r="E562" s="341">
        <v>0</v>
      </c>
      <c r="F562" s="341">
        <v>0</v>
      </c>
      <c r="G562" s="341">
        <v>0</v>
      </c>
      <c r="H562" s="341">
        <v>0</v>
      </c>
      <c r="I562" s="341">
        <v>0</v>
      </c>
      <c r="J562" s="341">
        <v>0</v>
      </c>
      <c r="K562" s="341">
        <v>0</v>
      </c>
      <c r="L562" s="341">
        <v>0</v>
      </c>
      <c r="M562" s="341">
        <v>0</v>
      </c>
      <c r="N562" s="341">
        <v>0</v>
      </c>
      <c r="O562" s="82"/>
      <c r="P562" s="86"/>
    </row>
    <row r="563" spans="1:16">
      <c r="A563" s="100"/>
      <c r="B563" s="85"/>
      <c r="C563" s="100" t="s">
        <v>99</v>
      </c>
      <c r="D563" s="341">
        <v>0</v>
      </c>
      <c r="E563" s="341">
        <v>0</v>
      </c>
      <c r="F563" s="341">
        <v>0</v>
      </c>
      <c r="G563" s="341">
        <v>0</v>
      </c>
      <c r="H563" s="341">
        <v>0</v>
      </c>
      <c r="I563" s="341">
        <v>0</v>
      </c>
      <c r="J563" s="341">
        <v>0</v>
      </c>
      <c r="K563" s="341">
        <v>0</v>
      </c>
      <c r="L563" s="341">
        <v>0</v>
      </c>
      <c r="M563" s="341">
        <v>0</v>
      </c>
      <c r="N563" s="341">
        <v>0</v>
      </c>
      <c r="O563" s="82"/>
      <c r="P563" s="86"/>
    </row>
    <row r="564" spans="1:16">
      <c r="A564" s="100"/>
      <c r="B564" s="85"/>
      <c r="C564" s="100" t="s">
        <v>83</v>
      </c>
      <c r="D564" s="341">
        <v>0</v>
      </c>
      <c r="E564" s="341">
        <v>0</v>
      </c>
      <c r="F564" s="341">
        <v>0</v>
      </c>
      <c r="G564" s="341">
        <v>0</v>
      </c>
      <c r="H564" s="341">
        <v>0</v>
      </c>
      <c r="I564" s="341">
        <v>0</v>
      </c>
      <c r="J564" s="341">
        <v>0</v>
      </c>
      <c r="K564" s="341">
        <v>0</v>
      </c>
      <c r="L564" s="341">
        <v>0</v>
      </c>
      <c r="M564" s="341">
        <v>0</v>
      </c>
      <c r="N564" s="341">
        <v>0</v>
      </c>
      <c r="O564" s="82"/>
      <c r="P564" s="86"/>
    </row>
    <row r="565" spans="1:16">
      <c r="A565" s="100"/>
      <c r="B565" s="85"/>
      <c r="C565" s="100" t="s">
        <v>84</v>
      </c>
      <c r="D565" s="341">
        <v>0</v>
      </c>
      <c r="E565" s="341">
        <v>0</v>
      </c>
      <c r="F565" s="341">
        <v>0</v>
      </c>
      <c r="G565" s="341">
        <v>0</v>
      </c>
      <c r="H565" s="341">
        <v>0</v>
      </c>
      <c r="I565" s="341">
        <v>0</v>
      </c>
      <c r="J565" s="341">
        <v>0</v>
      </c>
      <c r="K565" s="341">
        <v>0</v>
      </c>
      <c r="L565" s="341">
        <v>0</v>
      </c>
      <c r="M565" s="341">
        <v>0</v>
      </c>
      <c r="N565" s="341">
        <v>0</v>
      </c>
      <c r="O565" s="82"/>
      <c r="P565" s="86"/>
    </row>
    <row r="566" spans="1:16">
      <c r="A566" s="100"/>
      <c r="B566" s="85"/>
      <c r="C566" s="100" t="s">
        <v>85</v>
      </c>
      <c r="D566" s="341">
        <v>0</v>
      </c>
      <c r="E566" s="341">
        <v>0</v>
      </c>
      <c r="F566" s="341">
        <v>0</v>
      </c>
      <c r="G566" s="341">
        <v>0</v>
      </c>
      <c r="H566" s="341">
        <v>0</v>
      </c>
      <c r="I566" s="341">
        <v>0</v>
      </c>
      <c r="J566" s="341">
        <v>0</v>
      </c>
      <c r="K566" s="341">
        <v>0</v>
      </c>
      <c r="L566" s="341">
        <v>0</v>
      </c>
      <c r="M566" s="341">
        <v>0</v>
      </c>
      <c r="N566" s="341">
        <v>0</v>
      </c>
      <c r="O566" s="82"/>
      <c r="P566" s="86"/>
    </row>
    <row r="567" spans="1:16">
      <c r="A567" s="100"/>
      <c r="B567" s="85"/>
      <c r="C567" s="100" t="s">
        <v>86</v>
      </c>
      <c r="D567" s="341">
        <v>0</v>
      </c>
      <c r="E567" s="341">
        <v>0</v>
      </c>
      <c r="F567" s="341">
        <v>0</v>
      </c>
      <c r="G567" s="341">
        <v>0</v>
      </c>
      <c r="H567" s="341">
        <v>0</v>
      </c>
      <c r="I567" s="341">
        <v>0</v>
      </c>
      <c r="J567" s="341">
        <v>0</v>
      </c>
      <c r="K567" s="341">
        <v>0</v>
      </c>
      <c r="L567" s="341">
        <v>0</v>
      </c>
      <c r="M567" s="341">
        <v>0</v>
      </c>
      <c r="N567" s="341">
        <v>0</v>
      </c>
      <c r="O567" s="82"/>
      <c r="P567" s="86"/>
    </row>
    <row r="568" spans="1:16">
      <c r="A568" s="100"/>
      <c r="B568" s="85"/>
      <c r="C568" s="100" t="s">
        <v>87</v>
      </c>
      <c r="D568" s="341">
        <v>0</v>
      </c>
      <c r="E568" s="341">
        <v>0</v>
      </c>
      <c r="F568" s="341">
        <v>0</v>
      </c>
      <c r="G568" s="341">
        <v>0</v>
      </c>
      <c r="H568" s="341">
        <v>0</v>
      </c>
      <c r="I568" s="341">
        <v>0</v>
      </c>
      <c r="J568" s="341">
        <v>0</v>
      </c>
      <c r="K568" s="341">
        <v>0</v>
      </c>
      <c r="L568" s="341">
        <v>0</v>
      </c>
      <c r="M568" s="341">
        <v>0</v>
      </c>
      <c r="N568" s="341">
        <v>0</v>
      </c>
      <c r="O568" s="82"/>
      <c r="P568" s="86"/>
    </row>
    <row r="569" spans="1:16">
      <c r="A569" s="100"/>
      <c r="B569" s="85"/>
      <c r="C569" s="100" t="s">
        <v>88</v>
      </c>
      <c r="D569" s="341">
        <v>0</v>
      </c>
      <c r="E569" s="341">
        <v>0</v>
      </c>
      <c r="F569" s="341">
        <v>0</v>
      </c>
      <c r="G569" s="341">
        <v>0</v>
      </c>
      <c r="H569" s="341">
        <v>0</v>
      </c>
      <c r="I569" s="341">
        <v>0</v>
      </c>
      <c r="J569" s="341">
        <v>0</v>
      </c>
      <c r="K569" s="341">
        <v>0</v>
      </c>
      <c r="L569" s="341">
        <v>0</v>
      </c>
      <c r="M569" s="341">
        <v>0</v>
      </c>
      <c r="N569" s="341">
        <v>0</v>
      </c>
      <c r="O569" s="82"/>
      <c r="P569" s="86"/>
    </row>
    <row r="570" spans="1:16">
      <c r="A570" s="100"/>
      <c r="B570" s="85"/>
      <c r="C570" s="100" t="s">
        <v>89</v>
      </c>
      <c r="D570" s="341">
        <v>0</v>
      </c>
      <c r="E570" s="341">
        <v>0</v>
      </c>
      <c r="F570" s="341">
        <v>0</v>
      </c>
      <c r="G570" s="341">
        <v>0</v>
      </c>
      <c r="H570" s="341">
        <v>0</v>
      </c>
      <c r="I570" s="341">
        <v>0</v>
      </c>
      <c r="J570" s="341">
        <v>0</v>
      </c>
      <c r="K570" s="341">
        <v>0</v>
      </c>
      <c r="L570" s="341">
        <v>0</v>
      </c>
      <c r="M570" s="341">
        <v>0</v>
      </c>
      <c r="N570" s="341">
        <v>0</v>
      </c>
      <c r="O570" s="82"/>
      <c r="P570" s="86"/>
    </row>
    <row r="571" spans="1:16">
      <c r="A571" s="100"/>
      <c r="B571" s="85"/>
      <c r="C571" s="100" t="s">
        <v>90</v>
      </c>
      <c r="D571" s="341">
        <v>0</v>
      </c>
      <c r="E571" s="341">
        <v>0</v>
      </c>
      <c r="F571" s="341">
        <v>0</v>
      </c>
      <c r="G571" s="341">
        <v>0</v>
      </c>
      <c r="H571" s="341">
        <v>0</v>
      </c>
      <c r="I571" s="341">
        <v>0</v>
      </c>
      <c r="J571" s="341">
        <v>0</v>
      </c>
      <c r="K571" s="341">
        <v>0</v>
      </c>
      <c r="L571" s="341">
        <v>0</v>
      </c>
      <c r="M571" s="341">
        <v>0</v>
      </c>
      <c r="N571" s="341">
        <v>0</v>
      </c>
      <c r="O571" s="82"/>
      <c r="P571" s="86"/>
    </row>
    <row r="572" spans="1:16">
      <c r="A572" s="100"/>
      <c r="B572" s="85"/>
      <c r="C572" s="100" t="s">
        <v>91</v>
      </c>
      <c r="D572" s="341">
        <v>0</v>
      </c>
      <c r="E572" s="341">
        <v>0</v>
      </c>
      <c r="F572" s="341">
        <v>0</v>
      </c>
      <c r="G572" s="341">
        <v>0</v>
      </c>
      <c r="H572" s="341">
        <v>0</v>
      </c>
      <c r="I572" s="341">
        <v>0</v>
      </c>
      <c r="J572" s="341">
        <v>0</v>
      </c>
      <c r="K572" s="341">
        <v>0</v>
      </c>
      <c r="L572" s="341">
        <v>0</v>
      </c>
      <c r="M572" s="341">
        <v>0</v>
      </c>
      <c r="N572" s="341">
        <v>0</v>
      </c>
      <c r="O572" s="82"/>
      <c r="P572" s="86"/>
    </row>
    <row r="573" spans="1:16">
      <c r="A573" s="100"/>
      <c r="B573" s="85"/>
      <c r="C573" s="100" t="s">
        <v>92</v>
      </c>
      <c r="D573" s="341">
        <v>0</v>
      </c>
      <c r="E573" s="341">
        <v>0</v>
      </c>
      <c r="F573" s="341">
        <v>0</v>
      </c>
      <c r="G573" s="341">
        <v>0</v>
      </c>
      <c r="H573" s="341">
        <v>0</v>
      </c>
      <c r="I573" s="341">
        <v>0</v>
      </c>
      <c r="J573" s="341">
        <v>0</v>
      </c>
      <c r="K573" s="341">
        <v>0</v>
      </c>
      <c r="L573" s="341">
        <v>0</v>
      </c>
      <c r="M573" s="341">
        <v>0</v>
      </c>
      <c r="N573" s="341">
        <v>0</v>
      </c>
      <c r="O573" s="82"/>
      <c r="P573" s="86"/>
    </row>
    <row r="574" spans="1:16">
      <c r="A574" s="100"/>
      <c r="B574" s="85"/>
      <c r="C574" s="100" t="s">
        <v>95</v>
      </c>
      <c r="D574" s="341">
        <v>0</v>
      </c>
      <c r="E574" s="341">
        <v>0</v>
      </c>
      <c r="F574" s="341">
        <v>0</v>
      </c>
      <c r="G574" s="341">
        <v>0</v>
      </c>
      <c r="H574" s="341">
        <v>0</v>
      </c>
      <c r="I574" s="341">
        <v>0</v>
      </c>
      <c r="J574" s="341">
        <v>0</v>
      </c>
      <c r="K574" s="341">
        <v>0</v>
      </c>
      <c r="L574" s="341">
        <v>0</v>
      </c>
      <c r="M574" s="341">
        <v>0</v>
      </c>
      <c r="N574" s="341">
        <v>0</v>
      </c>
      <c r="O574" s="82"/>
      <c r="P574" s="86"/>
    </row>
    <row r="575" spans="1:16">
      <c r="A575" s="100"/>
      <c r="B575" s="85"/>
      <c r="C575" s="100" t="s">
        <v>96</v>
      </c>
      <c r="D575" s="341">
        <v>0</v>
      </c>
      <c r="E575" s="341">
        <v>0</v>
      </c>
      <c r="F575" s="341">
        <v>0</v>
      </c>
      <c r="G575" s="341">
        <v>0</v>
      </c>
      <c r="H575" s="341">
        <v>0</v>
      </c>
      <c r="I575" s="341">
        <v>0</v>
      </c>
      <c r="J575" s="341">
        <v>0</v>
      </c>
      <c r="K575" s="341">
        <v>0</v>
      </c>
      <c r="L575" s="341">
        <v>0</v>
      </c>
      <c r="M575" s="341">
        <v>0</v>
      </c>
      <c r="N575" s="341">
        <v>0</v>
      </c>
      <c r="O575" s="82"/>
      <c r="P575" s="86"/>
    </row>
    <row r="576" spans="1:16">
      <c r="A576" s="100"/>
      <c r="B576" s="85"/>
      <c r="C576" s="100" t="s">
        <v>93</v>
      </c>
      <c r="D576" s="341">
        <v>0</v>
      </c>
      <c r="E576" s="341">
        <v>0</v>
      </c>
      <c r="F576" s="341">
        <v>0</v>
      </c>
      <c r="G576" s="341">
        <v>0</v>
      </c>
      <c r="H576" s="341">
        <v>0</v>
      </c>
      <c r="I576" s="341">
        <v>0</v>
      </c>
      <c r="J576" s="341">
        <v>0</v>
      </c>
      <c r="K576" s="341">
        <v>0</v>
      </c>
      <c r="L576" s="341">
        <v>0</v>
      </c>
      <c r="M576" s="341">
        <v>0</v>
      </c>
      <c r="N576" s="341">
        <v>0</v>
      </c>
      <c r="O576" s="82"/>
      <c r="P576" s="86"/>
    </row>
    <row r="577" spans="1:16">
      <c r="A577" s="100"/>
      <c r="B577" s="85"/>
      <c r="C577" s="100" t="s">
        <v>97</v>
      </c>
      <c r="D577" s="341">
        <v>0</v>
      </c>
      <c r="E577" s="341">
        <v>0</v>
      </c>
      <c r="F577" s="341">
        <v>0</v>
      </c>
      <c r="G577" s="341">
        <v>0</v>
      </c>
      <c r="H577" s="341">
        <v>0</v>
      </c>
      <c r="I577" s="341">
        <v>0</v>
      </c>
      <c r="J577" s="341">
        <v>0</v>
      </c>
      <c r="K577" s="341">
        <v>0</v>
      </c>
      <c r="L577" s="341">
        <v>0</v>
      </c>
      <c r="M577" s="341">
        <v>0</v>
      </c>
      <c r="N577" s="341">
        <v>0</v>
      </c>
      <c r="O577" s="82"/>
      <c r="P577" s="86"/>
    </row>
    <row r="578" spans="1:16">
      <c r="A578" s="100"/>
      <c r="B578" s="85"/>
      <c r="C578" s="4" t="s">
        <v>136</v>
      </c>
      <c r="D578" s="341">
        <v>0</v>
      </c>
      <c r="E578" s="341">
        <v>0</v>
      </c>
      <c r="F578" s="341">
        <v>0</v>
      </c>
      <c r="G578" s="341">
        <v>0</v>
      </c>
      <c r="H578" s="341">
        <v>0</v>
      </c>
      <c r="I578" s="341">
        <v>0</v>
      </c>
      <c r="J578" s="341">
        <v>0</v>
      </c>
      <c r="K578" s="341">
        <v>0</v>
      </c>
      <c r="L578" s="341">
        <v>0</v>
      </c>
      <c r="M578" s="341">
        <v>0</v>
      </c>
      <c r="N578" s="341">
        <v>0</v>
      </c>
      <c r="O578" s="82"/>
      <c r="P578" s="86"/>
    </row>
    <row r="579" spans="1:16">
      <c r="A579" s="100"/>
      <c r="B579" s="85" t="s">
        <v>173</v>
      </c>
      <c r="C579" s="100" t="s">
        <v>102</v>
      </c>
      <c r="D579" s="341">
        <v>0</v>
      </c>
      <c r="E579" s="341">
        <v>0</v>
      </c>
      <c r="F579" s="341">
        <v>0</v>
      </c>
      <c r="G579" s="341">
        <v>0</v>
      </c>
      <c r="H579" s="341">
        <v>0</v>
      </c>
      <c r="I579" s="341">
        <v>0</v>
      </c>
      <c r="J579" s="341">
        <v>0</v>
      </c>
      <c r="K579" s="341">
        <v>0</v>
      </c>
      <c r="L579" s="341">
        <v>0</v>
      </c>
      <c r="M579" s="341">
        <v>0</v>
      </c>
      <c r="N579" s="341">
        <v>0</v>
      </c>
      <c r="O579" s="82"/>
      <c r="P579" s="86"/>
    </row>
    <row r="580" spans="1:16">
      <c r="A580" s="100"/>
      <c r="B580" s="85"/>
      <c r="C580" s="100" t="s">
        <v>98</v>
      </c>
      <c r="D580" s="341">
        <v>0</v>
      </c>
      <c r="E580" s="341">
        <v>0</v>
      </c>
      <c r="F580" s="341">
        <v>0</v>
      </c>
      <c r="G580" s="341">
        <v>0</v>
      </c>
      <c r="H580" s="341">
        <v>0</v>
      </c>
      <c r="I580" s="341">
        <v>0</v>
      </c>
      <c r="J580" s="341">
        <v>0</v>
      </c>
      <c r="K580" s="341">
        <v>0</v>
      </c>
      <c r="L580" s="341">
        <v>0</v>
      </c>
      <c r="M580" s="341">
        <v>0</v>
      </c>
      <c r="N580" s="341">
        <v>0</v>
      </c>
      <c r="O580" s="82"/>
      <c r="P580" s="86"/>
    </row>
    <row r="581" spans="1:16">
      <c r="A581" s="100"/>
      <c r="B581" s="85"/>
      <c r="C581" s="100" t="s">
        <v>99</v>
      </c>
      <c r="D581" s="341">
        <v>0</v>
      </c>
      <c r="E581" s="341">
        <v>0</v>
      </c>
      <c r="F581" s="341">
        <v>0</v>
      </c>
      <c r="G581" s="341">
        <v>0</v>
      </c>
      <c r="H581" s="341">
        <v>0</v>
      </c>
      <c r="I581" s="341">
        <v>0</v>
      </c>
      <c r="J581" s="341">
        <v>0</v>
      </c>
      <c r="K581" s="341">
        <v>0</v>
      </c>
      <c r="L581" s="341">
        <v>0</v>
      </c>
      <c r="M581" s="341">
        <v>0</v>
      </c>
      <c r="N581" s="341">
        <v>0</v>
      </c>
      <c r="O581" s="82"/>
      <c r="P581" s="86"/>
    </row>
    <row r="582" spans="1:16">
      <c r="A582" s="100"/>
      <c r="B582" s="85"/>
      <c r="C582" s="100" t="s">
        <v>83</v>
      </c>
      <c r="D582" s="341">
        <v>0</v>
      </c>
      <c r="E582" s="341">
        <v>0</v>
      </c>
      <c r="F582" s="341">
        <v>0</v>
      </c>
      <c r="G582" s="341">
        <v>0</v>
      </c>
      <c r="H582" s="341">
        <v>0</v>
      </c>
      <c r="I582" s="341">
        <v>0</v>
      </c>
      <c r="J582" s="341">
        <v>0</v>
      </c>
      <c r="K582" s="341">
        <v>0</v>
      </c>
      <c r="L582" s="341">
        <v>0</v>
      </c>
      <c r="M582" s="341">
        <v>0</v>
      </c>
      <c r="N582" s="341">
        <v>0</v>
      </c>
      <c r="O582" s="82"/>
      <c r="P582" s="86"/>
    </row>
    <row r="583" spans="1:16">
      <c r="A583" s="100"/>
      <c r="B583" s="85"/>
      <c r="C583" s="100" t="s">
        <v>84</v>
      </c>
      <c r="D583" s="341">
        <v>0</v>
      </c>
      <c r="E583" s="341">
        <v>0</v>
      </c>
      <c r="F583" s="341">
        <v>0</v>
      </c>
      <c r="G583" s="341">
        <v>0</v>
      </c>
      <c r="H583" s="341">
        <v>0</v>
      </c>
      <c r="I583" s="341">
        <v>0</v>
      </c>
      <c r="J583" s="341">
        <v>0</v>
      </c>
      <c r="K583" s="341">
        <v>0</v>
      </c>
      <c r="L583" s="341">
        <v>0</v>
      </c>
      <c r="M583" s="341">
        <v>0</v>
      </c>
      <c r="N583" s="341">
        <v>0</v>
      </c>
      <c r="O583" s="82"/>
      <c r="P583" s="86"/>
    </row>
    <row r="584" spans="1:16">
      <c r="A584" s="100"/>
      <c r="B584" s="85"/>
      <c r="C584" s="100" t="s">
        <v>85</v>
      </c>
      <c r="D584" s="341">
        <v>0</v>
      </c>
      <c r="E584" s="341">
        <v>0</v>
      </c>
      <c r="F584" s="341">
        <v>0</v>
      </c>
      <c r="G584" s="341">
        <v>1</v>
      </c>
      <c r="H584" s="341">
        <v>1</v>
      </c>
      <c r="I584" s="341">
        <v>0</v>
      </c>
      <c r="J584" s="341">
        <v>0</v>
      </c>
      <c r="K584" s="341">
        <v>0</v>
      </c>
      <c r="L584" s="341">
        <v>0</v>
      </c>
      <c r="M584" s="341">
        <v>0</v>
      </c>
      <c r="N584" s="341">
        <v>0</v>
      </c>
      <c r="O584" s="82"/>
      <c r="P584" s="86"/>
    </row>
    <row r="585" spans="1:16">
      <c r="A585" s="100"/>
      <c r="B585" s="85"/>
      <c r="C585" s="100" t="s">
        <v>86</v>
      </c>
      <c r="D585" s="341">
        <v>4</v>
      </c>
      <c r="E585" s="341">
        <v>0</v>
      </c>
      <c r="F585" s="341">
        <v>0</v>
      </c>
      <c r="G585" s="341">
        <v>0</v>
      </c>
      <c r="H585" s="341">
        <v>0</v>
      </c>
      <c r="I585" s="341">
        <v>0</v>
      </c>
      <c r="J585" s="341">
        <v>0</v>
      </c>
      <c r="K585" s="341">
        <v>0</v>
      </c>
      <c r="L585" s="341">
        <v>0</v>
      </c>
      <c r="M585" s="341">
        <v>0</v>
      </c>
      <c r="N585" s="341">
        <v>0</v>
      </c>
      <c r="O585" s="82"/>
      <c r="P585" s="86"/>
    </row>
    <row r="586" spans="1:16">
      <c r="A586" s="100"/>
      <c r="B586" s="85"/>
      <c r="C586" s="100" t="s">
        <v>87</v>
      </c>
      <c r="D586" s="341">
        <v>7</v>
      </c>
      <c r="E586" s="341">
        <v>2</v>
      </c>
      <c r="F586" s="341">
        <v>1</v>
      </c>
      <c r="G586" s="341">
        <v>0</v>
      </c>
      <c r="H586" s="341">
        <v>0</v>
      </c>
      <c r="I586" s="341">
        <v>0</v>
      </c>
      <c r="J586" s="341">
        <v>0</v>
      </c>
      <c r="K586" s="341">
        <v>0</v>
      </c>
      <c r="L586" s="341">
        <v>0</v>
      </c>
      <c r="M586" s="341">
        <v>0</v>
      </c>
      <c r="N586" s="341">
        <v>0</v>
      </c>
      <c r="O586" s="82"/>
      <c r="P586" s="86"/>
    </row>
    <row r="587" spans="1:16">
      <c r="A587" s="100"/>
      <c r="B587" s="85"/>
      <c r="C587" s="100" t="s">
        <v>88</v>
      </c>
      <c r="D587" s="341">
        <v>9</v>
      </c>
      <c r="E587" s="341">
        <v>3</v>
      </c>
      <c r="F587" s="341">
        <v>1</v>
      </c>
      <c r="G587" s="341">
        <v>0</v>
      </c>
      <c r="H587" s="341">
        <v>0</v>
      </c>
      <c r="I587" s="341">
        <v>0</v>
      </c>
      <c r="J587" s="341">
        <v>0</v>
      </c>
      <c r="K587" s="341">
        <v>0</v>
      </c>
      <c r="L587" s="341">
        <v>0</v>
      </c>
      <c r="M587" s="341">
        <v>0</v>
      </c>
      <c r="N587" s="341">
        <v>0</v>
      </c>
      <c r="O587" s="82"/>
      <c r="P587" s="86"/>
    </row>
    <row r="588" spans="1:16">
      <c r="A588" s="100"/>
      <c r="B588" s="85"/>
      <c r="C588" s="100" t="s">
        <v>89</v>
      </c>
      <c r="D588" s="341">
        <v>8</v>
      </c>
      <c r="E588" s="341">
        <v>2</v>
      </c>
      <c r="F588" s="341">
        <v>0</v>
      </c>
      <c r="G588" s="341">
        <v>0</v>
      </c>
      <c r="H588" s="341">
        <v>0</v>
      </c>
      <c r="I588" s="341">
        <v>0</v>
      </c>
      <c r="J588" s="341">
        <v>0</v>
      </c>
      <c r="K588" s="341">
        <v>0</v>
      </c>
      <c r="L588" s="341">
        <v>0</v>
      </c>
      <c r="M588" s="341">
        <v>0</v>
      </c>
      <c r="N588" s="341">
        <v>0</v>
      </c>
      <c r="O588" s="82"/>
      <c r="P588" s="86"/>
    </row>
    <row r="589" spans="1:16">
      <c r="A589" s="100"/>
      <c r="B589" s="85"/>
      <c r="C589" s="100" t="s">
        <v>90</v>
      </c>
      <c r="D589" s="341">
        <v>0</v>
      </c>
      <c r="E589" s="341">
        <v>0</v>
      </c>
      <c r="F589" s="341">
        <v>3</v>
      </c>
      <c r="G589" s="341">
        <v>0</v>
      </c>
      <c r="H589" s="341">
        <v>0</v>
      </c>
      <c r="I589" s="341">
        <v>0</v>
      </c>
      <c r="J589" s="341">
        <v>0</v>
      </c>
      <c r="K589" s="341">
        <v>0</v>
      </c>
      <c r="L589" s="341">
        <v>0</v>
      </c>
      <c r="M589" s="341">
        <v>0</v>
      </c>
      <c r="N589" s="341">
        <v>0</v>
      </c>
      <c r="O589" s="82"/>
      <c r="P589" s="86"/>
    </row>
    <row r="590" spans="1:16">
      <c r="A590" s="100"/>
      <c r="B590" s="85"/>
      <c r="C590" s="100" t="s">
        <v>91</v>
      </c>
      <c r="D590" s="341">
        <v>0</v>
      </c>
      <c r="E590" s="341">
        <v>1</v>
      </c>
      <c r="F590" s="341">
        <v>0</v>
      </c>
      <c r="G590" s="341">
        <v>1</v>
      </c>
      <c r="H590" s="341">
        <v>0</v>
      </c>
      <c r="I590" s="341">
        <v>0</v>
      </c>
      <c r="J590" s="341">
        <v>0</v>
      </c>
      <c r="K590" s="341">
        <v>0</v>
      </c>
      <c r="L590" s="341">
        <v>0</v>
      </c>
      <c r="M590" s="341">
        <v>0</v>
      </c>
      <c r="N590" s="341">
        <v>0</v>
      </c>
      <c r="O590" s="82"/>
      <c r="P590" s="86"/>
    </row>
    <row r="591" spans="1:16">
      <c r="A591" s="100"/>
      <c r="B591" s="85"/>
      <c r="C591" s="100" t="s">
        <v>92</v>
      </c>
      <c r="D591" s="341">
        <v>0</v>
      </c>
      <c r="E591" s="341">
        <v>1</v>
      </c>
      <c r="F591" s="341">
        <v>0</v>
      </c>
      <c r="G591" s="341">
        <v>0</v>
      </c>
      <c r="H591" s="341">
        <v>0</v>
      </c>
      <c r="I591" s="341">
        <v>0</v>
      </c>
      <c r="J591" s="341">
        <v>0</v>
      </c>
      <c r="K591" s="341">
        <v>0</v>
      </c>
      <c r="L591" s="341">
        <v>0</v>
      </c>
      <c r="M591" s="341">
        <v>0</v>
      </c>
      <c r="N591" s="341">
        <v>0</v>
      </c>
      <c r="O591" s="82"/>
      <c r="P591" s="86"/>
    </row>
    <row r="592" spans="1:16">
      <c r="A592" s="100"/>
      <c r="B592" s="85"/>
      <c r="C592" s="100" t="s">
        <v>95</v>
      </c>
      <c r="D592" s="341">
        <v>0</v>
      </c>
      <c r="E592" s="341">
        <v>0</v>
      </c>
      <c r="F592" s="341">
        <v>0</v>
      </c>
      <c r="G592" s="341">
        <v>0</v>
      </c>
      <c r="H592" s="341">
        <v>0</v>
      </c>
      <c r="I592" s="341">
        <v>0</v>
      </c>
      <c r="J592" s="341">
        <v>0</v>
      </c>
      <c r="K592" s="341">
        <v>0</v>
      </c>
      <c r="L592" s="341">
        <v>0</v>
      </c>
      <c r="M592" s="341">
        <v>0</v>
      </c>
      <c r="N592" s="341">
        <v>0</v>
      </c>
      <c r="O592" s="82"/>
      <c r="P592" s="86"/>
    </row>
    <row r="593" spans="1:16">
      <c r="A593" s="100"/>
      <c r="B593" s="85"/>
      <c r="C593" s="100" t="s">
        <v>96</v>
      </c>
      <c r="D593" s="341">
        <v>0</v>
      </c>
      <c r="E593" s="341">
        <v>0</v>
      </c>
      <c r="F593" s="341">
        <v>0</v>
      </c>
      <c r="G593" s="341">
        <v>0</v>
      </c>
      <c r="H593" s="341">
        <v>1</v>
      </c>
      <c r="I593" s="341">
        <v>0</v>
      </c>
      <c r="J593" s="341">
        <v>0</v>
      </c>
      <c r="K593" s="341">
        <v>0</v>
      </c>
      <c r="L593" s="341">
        <v>0</v>
      </c>
      <c r="M593" s="341">
        <v>0</v>
      </c>
      <c r="N593" s="341">
        <v>0</v>
      </c>
      <c r="O593" s="82"/>
      <c r="P593" s="86"/>
    </row>
    <row r="594" spans="1:16">
      <c r="A594" s="100"/>
      <c r="B594" s="85"/>
      <c r="C594" s="100" t="s">
        <v>93</v>
      </c>
      <c r="D594" s="341">
        <v>2</v>
      </c>
      <c r="E594" s="341">
        <v>0</v>
      </c>
      <c r="F594" s="341">
        <v>0</v>
      </c>
      <c r="G594" s="341">
        <v>0</v>
      </c>
      <c r="H594" s="341">
        <v>0</v>
      </c>
      <c r="I594" s="341">
        <v>0</v>
      </c>
      <c r="J594" s="341">
        <v>0</v>
      </c>
      <c r="K594" s="341">
        <v>0</v>
      </c>
      <c r="L594" s="341">
        <v>0</v>
      </c>
      <c r="M594" s="341">
        <v>0</v>
      </c>
      <c r="N594" s="341">
        <v>0</v>
      </c>
      <c r="O594" s="82"/>
      <c r="P594" s="86"/>
    </row>
    <row r="595" spans="1:16">
      <c r="A595" s="100"/>
      <c r="B595" s="85"/>
      <c r="C595" s="100" t="s">
        <v>97</v>
      </c>
      <c r="D595" s="341">
        <v>0</v>
      </c>
      <c r="E595" s="341">
        <v>0</v>
      </c>
      <c r="F595" s="341">
        <v>0</v>
      </c>
      <c r="G595" s="341">
        <v>1</v>
      </c>
      <c r="H595" s="341">
        <v>0</v>
      </c>
      <c r="I595" s="341">
        <v>0</v>
      </c>
      <c r="J595" s="341">
        <v>0</v>
      </c>
      <c r="K595" s="341">
        <v>0</v>
      </c>
      <c r="L595" s="341">
        <v>0</v>
      </c>
      <c r="M595" s="341">
        <v>0</v>
      </c>
      <c r="N595" s="341">
        <v>0</v>
      </c>
      <c r="O595" s="82"/>
      <c r="P595" s="86"/>
    </row>
    <row r="596" spans="1:16">
      <c r="A596" s="100"/>
      <c r="B596" s="101"/>
      <c r="C596" s="45" t="s">
        <v>136</v>
      </c>
      <c r="D596" s="342">
        <v>1</v>
      </c>
      <c r="E596" s="342">
        <v>0</v>
      </c>
      <c r="F596" s="342">
        <v>1</v>
      </c>
      <c r="G596" s="342">
        <v>0</v>
      </c>
      <c r="H596" s="342">
        <v>0</v>
      </c>
      <c r="I596" s="342">
        <v>0</v>
      </c>
      <c r="J596" s="342">
        <v>0</v>
      </c>
      <c r="K596" s="342">
        <v>0</v>
      </c>
      <c r="L596" s="342">
        <v>0</v>
      </c>
      <c r="M596" s="342">
        <v>0</v>
      </c>
      <c r="N596" s="342">
        <v>0</v>
      </c>
      <c r="O596" s="104"/>
      <c r="P596" s="88"/>
    </row>
  </sheetData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596"/>
  <sheetViews>
    <sheetView zoomScale="80" zoomScaleNormal="80" workbookViewId="0"/>
  </sheetViews>
  <sheetFormatPr defaultRowHeight="12.75"/>
  <cols>
    <col min="1" max="1" width="3.5" style="4" customWidth="1"/>
    <col min="2" max="2" width="8.25" style="4" customWidth="1"/>
    <col min="3" max="5" width="10" style="4" bestFit="1" customWidth="1"/>
    <col min="6" max="6" width="11" style="4" bestFit="1" customWidth="1"/>
    <col min="7" max="7" width="9.125" style="4" bestFit="1" customWidth="1"/>
    <col min="8" max="8" width="10" style="4" bestFit="1" customWidth="1"/>
    <col min="9" max="9" width="9.375" style="4" customWidth="1"/>
    <col min="10" max="10" width="9.25" style="4" customWidth="1"/>
    <col min="11" max="11" width="10" style="4" bestFit="1" customWidth="1"/>
    <col min="12" max="12" width="9" style="4"/>
    <col min="13" max="14" width="9" style="33"/>
    <col min="15" max="15" width="9" style="25"/>
    <col min="16" max="16384" width="9" style="4"/>
  </cols>
  <sheetData>
    <row r="1" spans="2:15">
      <c r="B1" s="105" t="s">
        <v>137</v>
      </c>
      <c r="C1" s="105" t="s">
        <v>138</v>
      </c>
      <c r="F1" s="9"/>
      <c r="G1" s="9"/>
      <c r="H1" s="9"/>
    </row>
    <row r="2" spans="2:15">
      <c r="F2" s="9"/>
      <c r="G2" s="9"/>
      <c r="H2" s="9"/>
    </row>
    <row r="3" spans="2:15" s="65" customFormat="1">
      <c r="B3" s="8" t="s">
        <v>139</v>
      </c>
      <c r="C3" s="66"/>
      <c r="F3" s="62"/>
      <c r="G3" s="62"/>
      <c r="H3" s="62"/>
      <c r="M3" s="75"/>
      <c r="N3" s="75"/>
      <c r="O3" s="72"/>
    </row>
    <row r="4" spans="2:15" s="65" customFormat="1">
      <c r="B4" s="67"/>
      <c r="C4" s="68"/>
      <c r="F4" s="62"/>
      <c r="G4" s="62"/>
      <c r="H4" s="62"/>
      <c r="M4" s="75"/>
      <c r="N4" s="75"/>
      <c r="O4" s="72"/>
    </row>
    <row r="5" spans="2:15" s="65" customFormat="1">
      <c r="B5" s="135">
        <v>1998</v>
      </c>
      <c r="C5" s="127"/>
      <c r="F5" s="62"/>
      <c r="G5" s="62"/>
      <c r="H5" s="62"/>
      <c r="M5" s="75"/>
      <c r="N5" s="75"/>
      <c r="O5" s="72"/>
    </row>
    <row r="6" spans="2:15" s="65" customFormat="1">
      <c r="B6" s="136">
        <v>1999</v>
      </c>
      <c r="C6" s="127"/>
      <c r="E6" s="99"/>
      <c r="F6" s="99"/>
      <c r="G6" s="62" t="s">
        <v>174</v>
      </c>
      <c r="H6" s="62"/>
      <c r="M6" s="75"/>
      <c r="N6" s="75"/>
      <c r="O6" s="72"/>
    </row>
    <row r="7" spans="2:15" s="65" customFormat="1">
      <c r="B7" s="135">
        <v>2000</v>
      </c>
      <c r="C7" s="127"/>
      <c r="F7" s="62"/>
      <c r="G7" s="62"/>
      <c r="H7" s="62"/>
      <c r="M7" s="75"/>
      <c r="N7" s="75"/>
      <c r="O7" s="72"/>
    </row>
    <row r="8" spans="2:15" s="65" customFormat="1">
      <c r="B8" s="136">
        <v>2001</v>
      </c>
      <c r="C8" s="127"/>
      <c r="F8" s="62"/>
      <c r="G8" s="62"/>
      <c r="H8" s="62"/>
      <c r="M8" s="75"/>
      <c r="N8" s="75"/>
      <c r="O8" s="72"/>
    </row>
    <row r="9" spans="2:15" s="65" customFormat="1">
      <c r="B9" s="135">
        <v>2002</v>
      </c>
      <c r="C9" s="127"/>
      <c r="F9" s="62"/>
      <c r="G9" s="62"/>
      <c r="H9" s="62"/>
      <c r="M9" s="75"/>
      <c r="N9" s="75"/>
      <c r="O9" s="72"/>
    </row>
    <row r="10" spans="2:15" s="65" customFormat="1">
      <c r="B10" s="136">
        <v>2003</v>
      </c>
      <c r="C10" s="127"/>
      <c r="F10" s="62"/>
      <c r="G10" s="62"/>
      <c r="H10" s="62"/>
      <c r="M10" s="75"/>
      <c r="N10" s="75"/>
      <c r="O10" s="72"/>
    </row>
    <row r="11" spans="2:15" s="65" customFormat="1">
      <c r="B11" s="135">
        <v>2004</v>
      </c>
      <c r="C11" s="127"/>
      <c r="F11" s="62"/>
      <c r="G11" s="62"/>
      <c r="H11" s="62"/>
      <c r="M11" s="75"/>
      <c r="N11" s="75"/>
      <c r="O11" s="72"/>
    </row>
    <row r="12" spans="2:15" s="65" customFormat="1">
      <c r="B12" s="136">
        <v>2005</v>
      </c>
      <c r="C12" s="127"/>
      <c r="F12" s="62"/>
      <c r="G12" s="62"/>
      <c r="H12" s="62"/>
      <c r="M12" s="75"/>
      <c r="N12" s="75"/>
      <c r="O12" s="72"/>
    </row>
    <row r="13" spans="2:15" s="65" customFormat="1">
      <c r="B13" s="135">
        <v>2006</v>
      </c>
      <c r="C13" s="127"/>
      <c r="F13" s="62"/>
      <c r="G13" s="62"/>
      <c r="H13" s="62"/>
      <c r="M13" s="75"/>
      <c r="N13" s="75"/>
      <c r="O13" s="72"/>
    </row>
    <row r="14" spans="2:15" s="65" customFormat="1">
      <c r="B14" s="136">
        <v>2007</v>
      </c>
      <c r="C14" s="127"/>
      <c r="F14" s="62"/>
      <c r="G14" s="62"/>
      <c r="H14" s="62"/>
      <c r="M14" s="75"/>
      <c r="N14" s="75"/>
      <c r="O14" s="72"/>
    </row>
    <row r="15" spans="2:15" s="65" customFormat="1">
      <c r="B15" s="135">
        <v>2008</v>
      </c>
      <c r="C15" s="127"/>
      <c r="F15" s="62"/>
      <c r="G15" s="62"/>
      <c r="H15" s="62"/>
      <c r="M15" s="75"/>
      <c r="N15" s="75"/>
      <c r="O15" s="72"/>
    </row>
    <row r="16" spans="2:15" s="65" customFormat="1">
      <c r="B16" s="136">
        <v>2009</v>
      </c>
      <c r="C16" s="127"/>
      <c r="F16" s="62"/>
      <c r="G16" s="62"/>
      <c r="H16" s="62"/>
      <c r="M16" s="75"/>
      <c r="N16" s="75"/>
      <c r="O16" s="72"/>
    </row>
    <row r="17" spans="2:16" s="65" customFormat="1">
      <c r="B17" s="135">
        <v>2010</v>
      </c>
      <c r="C17" s="127"/>
      <c r="F17" s="62"/>
      <c r="G17" s="62"/>
      <c r="H17" s="62"/>
      <c r="M17" s="75"/>
      <c r="N17" s="75"/>
      <c r="O17" s="72"/>
    </row>
    <row r="18" spans="2:16" s="65" customFormat="1">
      <c r="B18" s="135">
        <v>2011</v>
      </c>
      <c r="C18" s="127"/>
      <c r="F18" s="62"/>
      <c r="G18" s="62"/>
      <c r="H18" s="62"/>
      <c r="M18" s="75"/>
      <c r="N18" s="75"/>
      <c r="O18" s="72"/>
    </row>
    <row r="19" spans="2:16" s="65" customFormat="1">
      <c r="B19" s="149">
        <v>2012</v>
      </c>
      <c r="C19" s="150"/>
      <c r="F19" s="62"/>
      <c r="G19" s="62"/>
      <c r="H19" s="62"/>
      <c r="M19" s="75"/>
      <c r="N19" s="75"/>
      <c r="O19" s="72"/>
    </row>
    <row r="20" spans="2:16" s="65" customFormat="1">
      <c r="B20" s="107"/>
      <c r="C20" s="106"/>
      <c r="F20" s="62"/>
      <c r="G20" s="62"/>
      <c r="H20" s="62"/>
      <c r="M20" s="75"/>
      <c r="N20" s="75"/>
      <c r="O20" s="72"/>
    </row>
    <row r="21" spans="2:16" s="65" customFormat="1">
      <c r="B21" s="108"/>
      <c r="C21" s="109"/>
      <c r="F21" s="62"/>
      <c r="G21" s="62"/>
      <c r="H21" s="62"/>
      <c r="M21" s="75"/>
      <c r="N21" s="75"/>
      <c r="O21" s="72"/>
    </row>
    <row r="22" spans="2:16" s="65" customFormat="1">
      <c r="F22" s="62"/>
      <c r="G22" s="62"/>
      <c r="H22" s="62"/>
      <c r="K22" s="110"/>
      <c r="M22" s="75"/>
      <c r="N22" s="75"/>
      <c r="O22" s="72"/>
    </row>
    <row r="23" spans="2:16" s="65" customFormat="1">
      <c r="F23" s="62"/>
      <c r="G23" s="62"/>
      <c r="H23" s="62"/>
      <c r="M23" s="75"/>
      <c r="N23" s="75"/>
      <c r="O23" s="72"/>
    </row>
    <row r="24" spans="2:16" s="65" customFormat="1">
      <c r="B24" s="8" t="s">
        <v>146</v>
      </c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154"/>
      <c r="N24" s="154"/>
      <c r="O24" s="74"/>
    </row>
    <row r="25" spans="2:16" s="65" customFormat="1">
      <c r="B25" s="67"/>
      <c r="M25" s="75"/>
      <c r="N25" s="75"/>
      <c r="O25" s="103"/>
    </row>
    <row r="26" spans="2:16" s="65" customFormat="1">
      <c r="B26" s="67"/>
      <c r="C26" s="111">
        <v>2002</v>
      </c>
      <c r="D26" s="111">
        <v>2003</v>
      </c>
      <c r="E26" s="111">
        <v>2004</v>
      </c>
      <c r="F26" s="111">
        <v>2005</v>
      </c>
      <c r="G26" s="111">
        <v>2006</v>
      </c>
      <c r="H26" s="111">
        <v>2007</v>
      </c>
      <c r="I26" s="111">
        <v>2008</v>
      </c>
      <c r="J26" s="111">
        <v>2009</v>
      </c>
      <c r="K26" s="111">
        <v>2010</v>
      </c>
      <c r="L26" s="111">
        <v>2011</v>
      </c>
      <c r="M26" s="152">
        <v>2012</v>
      </c>
      <c r="N26" s="155"/>
      <c r="O26" s="112"/>
    </row>
    <row r="27" spans="2:16" s="65" customFormat="1">
      <c r="B27" s="67" t="s">
        <v>140</v>
      </c>
      <c r="C27" s="113"/>
      <c r="D27" s="113"/>
      <c r="E27" s="114"/>
      <c r="F27" s="114"/>
      <c r="G27" s="114"/>
      <c r="H27" s="114"/>
      <c r="I27" s="125"/>
      <c r="J27" s="125"/>
      <c r="K27" s="125"/>
      <c r="L27" s="114"/>
      <c r="M27" s="152"/>
      <c r="N27" s="75"/>
      <c r="O27" s="103"/>
    </row>
    <row r="28" spans="2:16" s="65" customFormat="1">
      <c r="B28" s="67" t="s">
        <v>141</v>
      </c>
      <c r="C28" s="61"/>
      <c r="D28" s="61"/>
      <c r="E28" s="61"/>
      <c r="F28" s="61"/>
      <c r="G28" s="61"/>
      <c r="H28" s="61"/>
      <c r="I28" s="125"/>
      <c r="J28" s="125"/>
      <c r="K28" s="125"/>
      <c r="L28" s="61"/>
      <c r="M28" s="152"/>
      <c r="N28" s="75"/>
      <c r="O28" s="116"/>
      <c r="P28" s="102"/>
    </row>
    <row r="29" spans="2:16" s="65" customFormat="1">
      <c r="B29" s="117" t="s">
        <v>142</v>
      </c>
      <c r="C29" s="61"/>
      <c r="D29" s="61"/>
      <c r="E29" s="61"/>
      <c r="F29" s="61"/>
      <c r="G29" s="61"/>
      <c r="H29" s="61"/>
      <c r="I29" s="125"/>
      <c r="J29" s="125"/>
      <c r="K29" s="125"/>
      <c r="L29" s="61"/>
      <c r="M29" s="152"/>
      <c r="N29" s="75"/>
      <c r="O29" s="116"/>
      <c r="P29" s="102"/>
    </row>
    <row r="30" spans="2:16" s="65" customFormat="1">
      <c r="B30" s="118" t="s">
        <v>143</v>
      </c>
      <c r="C30" s="71"/>
      <c r="D30" s="71"/>
      <c r="E30" s="71"/>
      <c r="F30" s="71"/>
      <c r="G30" s="71"/>
      <c r="H30" s="71"/>
      <c r="I30" s="125"/>
      <c r="J30" s="125"/>
      <c r="K30" s="125"/>
      <c r="L30" s="114"/>
      <c r="M30" s="152"/>
      <c r="N30" s="165"/>
      <c r="O30" s="103"/>
      <c r="P30" s="102"/>
    </row>
    <row r="31" spans="2:16" s="65" customFormat="1">
      <c r="B31" s="118" t="s">
        <v>83</v>
      </c>
      <c r="C31" s="71"/>
      <c r="D31" s="71"/>
      <c r="E31" s="71"/>
      <c r="F31" s="71"/>
      <c r="G31" s="71"/>
      <c r="H31" s="71"/>
      <c r="I31" s="125"/>
      <c r="J31" s="125"/>
      <c r="K31" s="125"/>
      <c r="L31" s="114"/>
      <c r="M31" s="152"/>
      <c r="N31" s="165"/>
      <c r="O31" s="103"/>
    </row>
    <row r="32" spans="2:16" s="65" customFormat="1">
      <c r="B32" s="118" t="s">
        <v>84</v>
      </c>
      <c r="C32" s="71"/>
      <c r="D32" s="71"/>
      <c r="E32" s="71"/>
      <c r="F32" s="71"/>
      <c r="G32" s="71"/>
      <c r="H32" s="71"/>
      <c r="I32" s="125"/>
      <c r="J32" s="125"/>
      <c r="K32" s="125"/>
      <c r="L32" s="114"/>
      <c r="M32" s="152"/>
      <c r="N32" s="165"/>
      <c r="O32" s="103"/>
    </row>
    <row r="33" spans="2:16" s="65" customFormat="1">
      <c r="B33" s="118" t="s">
        <v>85</v>
      </c>
      <c r="C33" s="71"/>
      <c r="D33" s="71"/>
      <c r="E33" s="71"/>
      <c r="F33" s="71"/>
      <c r="G33" s="71"/>
      <c r="H33" s="71"/>
      <c r="I33" s="125"/>
      <c r="J33" s="125"/>
      <c r="K33" s="125"/>
      <c r="L33" s="114"/>
      <c r="M33" s="152"/>
      <c r="N33" s="165"/>
      <c r="O33" s="103"/>
    </row>
    <row r="34" spans="2:16" s="65" customFormat="1">
      <c r="B34" s="118" t="s">
        <v>86</v>
      </c>
      <c r="C34" s="71"/>
      <c r="D34" s="71"/>
      <c r="E34" s="71"/>
      <c r="F34" s="71"/>
      <c r="G34" s="71"/>
      <c r="H34" s="71"/>
      <c r="I34" s="125"/>
      <c r="J34" s="125"/>
      <c r="K34" s="125"/>
      <c r="L34" s="114"/>
      <c r="M34" s="152"/>
      <c r="N34" s="165"/>
      <c r="O34" s="103"/>
    </row>
    <row r="35" spans="2:16" s="65" customFormat="1">
      <c r="B35" s="118" t="s">
        <v>87</v>
      </c>
      <c r="C35" s="71"/>
      <c r="D35" s="71"/>
      <c r="E35" s="71"/>
      <c r="F35" s="71"/>
      <c r="G35" s="71"/>
      <c r="H35" s="71"/>
      <c r="I35" s="125"/>
      <c r="J35" s="125"/>
      <c r="K35" s="125"/>
      <c r="L35" s="114"/>
      <c r="M35" s="152"/>
      <c r="N35" s="165"/>
      <c r="O35" s="103"/>
    </row>
    <row r="36" spans="2:16" s="65" customFormat="1">
      <c r="B36" s="118" t="s">
        <v>88</v>
      </c>
      <c r="C36" s="71"/>
      <c r="D36" s="71"/>
      <c r="E36" s="71"/>
      <c r="F36" s="71"/>
      <c r="G36" s="71"/>
      <c r="H36" s="71"/>
      <c r="I36" s="125"/>
      <c r="J36" s="125"/>
      <c r="K36" s="125"/>
      <c r="L36" s="114"/>
      <c r="M36" s="152"/>
      <c r="N36" s="165"/>
      <c r="O36" s="103"/>
    </row>
    <row r="37" spans="2:16" s="65" customFormat="1">
      <c r="B37" s="118" t="s">
        <v>89</v>
      </c>
      <c r="C37" s="71"/>
      <c r="D37" s="71"/>
      <c r="E37" s="71"/>
      <c r="F37" s="71"/>
      <c r="G37" s="71"/>
      <c r="H37" s="71"/>
      <c r="I37" s="125"/>
      <c r="J37" s="125"/>
      <c r="K37" s="125"/>
      <c r="L37" s="114"/>
      <c r="M37" s="152"/>
      <c r="N37" s="165"/>
      <c r="O37" s="103"/>
    </row>
    <row r="38" spans="2:16" s="65" customFormat="1">
      <c r="B38" s="118" t="s">
        <v>90</v>
      </c>
      <c r="C38" s="71"/>
      <c r="D38" s="71"/>
      <c r="E38" s="71"/>
      <c r="F38" s="71"/>
      <c r="G38" s="71"/>
      <c r="H38" s="71"/>
      <c r="I38" s="125"/>
      <c r="J38" s="125"/>
      <c r="K38" s="125"/>
      <c r="L38" s="114"/>
      <c r="M38" s="152"/>
      <c r="N38" s="165"/>
      <c r="O38" s="103"/>
    </row>
    <row r="39" spans="2:16" s="65" customFormat="1">
      <c r="B39" s="118" t="s">
        <v>91</v>
      </c>
      <c r="C39" s="71"/>
      <c r="D39" s="71"/>
      <c r="E39" s="71"/>
      <c r="F39" s="71"/>
      <c r="G39" s="71"/>
      <c r="H39" s="71"/>
      <c r="I39" s="125"/>
      <c r="J39" s="125"/>
      <c r="K39" s="125"/>
      <c r="L39" s="114"/>
      <c r="M39" s="152"/>
      <c r="N39" s="165"/>
      <c r="O39" s="103"/>
      <c r="P39" s="166"/>
    </row>
    <row r="40" spans="2:16" s="65" customFormat="1">
      <c r="B40" s="118" t="s">
        <v>92</v>
      </c>
      <c r="C40" s="71"/>
      <c r="D40" s="71"/>
      <c r="E40" s="71"/>
      <c r="F40" s="71"/>
      <c r="G40" s="71"/>
      <c r="H40" s="71"/>
      <c r="I40" s="125"/>
      <c r="J40" s="125"/>
      <c r="K40" s="125"/>
      <c r="L40" s="114"/>
      <c r="M40" s="152"/>
      <c r="N40" s="165"/>
      <c r="O40" s="103"/>
    </row>
    <row r="41" spans="2:16" s="65" customFormat="1">
      <c r="B41" s="119" t="s">
        <v>95</v>
      </c>
      <c r="C41" s="71"/>
      <c r="D41" s="71"/>
      <c r="E41" s="71"/>
      <c r="F41" s="71"/>
      <c r="G41" s="71"/>
      <c r="H41" s="71"/>
      <c r="I41" s="125"/>
      <c r="J41" s="125"/>
      <c r="K41" s="125"/>
      <c r="L41" s="114"/>
      <c r="M41" s="152"/>
      <c r="N41" s="165"/>
      <c r="O41" s="120"/>
      <c r="P41" s="121"/>
    </row>
    <row r="42" spans="2:16" s="65" customFormat="1">
      <c r="B42" s="119" t="s">
        <v>96</v>
      </c>
      <c r="C42" s="71"/>
      <c r="D42" s="71"/>
      <c r="E42" s="71"/>
      <c r="F42" s="71"/>
      <c r="G42" s="71"/>
      <c r="H42" s="71"/>
      <c r="I42" s="125"/>
      <c r="J42" s="125"/>
      <c r="K42" s="125"/>
      <c r="L42" s="114"/>
      <c r="M42" s="152"/>
      <c r="N42" s="75"/>
      <c r="O42" s="120"/>
      <c r="P42" s="121"/>
    </row>
    <row r="43" spans="2:16" s="65" customFormat="1">
      <c r="B43" s="119" t="s">
        <v>93</v>
      </c>
      <c r="C43" s="71"/>
      <c r="D43" s="71"/>
      <c r="E43" s="71"/>
      <c r="F43" s="71"/>
      <c r="G43" s="71"/>
      <c r="H43" s="71"/>
      <c r="I43" s="125"/>
      <c r="J43" s="125"/>
      <c r="K43" s="125"/>
      <c r="L43" s="114"/>
      <c r="M43" s="152"/>
      <c r="N43" s="75"/>
      <c r="O43" s="120"/>
      <c r="P43" s="121"/>
    </row>
    <row r="44" spans="2:16" s="65" customFormat="1">
      <c r="B44" s="119" t="s">
        <v>97</v>
      </c>
      <c r="C44" s="71"/>
      <c r="D44" s="71"/>
      <c r="E44" s="71"/>
      <c r="F44" s="71"/>
      <c r="G44" s="71"/>
      <c r="H44" s="71"/>
      <c r="I44" s="125"/>
      <c r="J44" s="125"/>
      <c r="K44" s="125"/>
      <c r="L44" s="114"/>
      <c r="M44" s="152"/>
      <c r="N44" s="75"/>
      <c r="O44" s="120"/>
      <c r="P44" s="121"/>
    </row>
    <row r="45" spans="2:16" s="65" customFormat="1">
      <c r="B45" s="119" t="s">
        <v>144</v>
      </c>
      <c r="C45" s="71"/>
      <c r="D45" s="71"/>
      <c r="E45" s="71"/>
      <c r="F45" s="71"/>
      <c r="G45" s="71"/>
      <c r="H45" s="71"/>
      <c r="I45" s="78"/>
      <c r="J45" s="137"/>
      <c r="K45" s="137"/>
      <c r="L45" s="114"/>
      <c r="M45" s="152"/>
      <c r="N45" s="75"/>
      <c r="O45" s="120"/>
      <c r="P45" s="121"/>
    </row>
    <row r="46" spans="2:16" s="65" customFormat="1">
      <c r="B46" s="69" t="s">
        <v>94</v>
      </c>
      <c r="C46" s="122"/>
      <c r="D46" s="122"/>
      <c r="E46" s="122"/>
      <c r="F46" s="122"/>
      <c r="G46" s="122"/>
      <c r="H46" s="122"/>
      <c r="I46" s="138"/>
      <c r="J46" s="138"/>
      <c r="K46" s="138"/>
      <c r="L46" s="138"/>
      <c r="M46" s="153"/>
      <c r="N46" s="73"/>
      <c r="O46" s="123"/>
    </row>
    <row r="47" spans="2:16" s="62" customFormat="1">
      <c r="B47" s="65"/>
      <c r="C47" s="63"/>
      <c r="D47" s="63"/>
      <c r="E47" s="63"/>
      <c r="F47" s="63"/>
      <c r="G47" s="63"/>
      <c r="H47" s="63"/>
      <c r="I47" s="124"/>
      <c r="J47" s="124"/>
      <c r="K47" s="124"/>
      <c r="L47" s="115"/>
      <c r="M47" s="58"/>
      <c r="N47" s="58"/>
      <c r="O47" s="63"/>
    </row>
    <row r="48" spans="2:16" s="62" customFormat="1">
      <c r="B48" s="65"/>
      <c r="C48" s="63"/>
      <c r="D48" s="63"/>
      <c r="E48" s="63"/>
      <c r="F48" s="63"/>
      <c r="G48" s="63"/>
      <c r="H48" s="63"/>
      <c r="I48" s="124"/>
      <c r="J48" s="124"/>
      <c r="K48" s="124"/>
      <c r="L48" s="115"/>
      <c r="M48" s="58"/>
      <c r="N48" s="58"/>
      <c r="O48" s="63"/>
    </row>
    <row r="49" spans="2:15" s="9" customFormat="1">
      <c r="D49" s="22"/>
      <c r="E49" s="22"/>
      <c r="F49" s="22"/>
      <c r="G49" s="22"/>
      <c r="H49" s="22"/>
      <c r="I49" s="26"/>
      <c r="J49" s="26"/>
      <c r="K49" s="26"/>
      <c r="L49" s="22"/>
      <c r="M49" s="24"/>
      <c r="N49" s="24"/>
      <c r="O49" s="22"/>
    </row>
    <row r="50" spans="2:15" s="9" customFormat="1">
      <c r="D50" s="22"/>
      <c r="E50" s="22"/>
      <c r="F50" s="22"/>
      <c r="G50" s="22"/>
      <c r="H50" s="22"/>
      <c r="I50" s="26"/>
      <c r="J50" s="26"/>
      <c r="K50" s="26"/>
      <c r="L50" s="22"/>
      <c r="M50" s="24"/>
      <c r="N50" s="24"/>
      <c r="O50" s="22"/>
    </row>
    <row r="51" spans="2:15" s="9" customFormat="1">
      <c r="D51" s="22"/>
      <c r="E51" s="22"/>
      <c r="F51" s="22"/>
      <c r="G51" s="22"/>
      <c r="H51" s="22"/>
      <c r="I51" s="26"/>
      <c r="J51" s="26"/>
      <c r="K51" s="26"/>
      <c r="L51" s="22"/>
      <c r="M51" s="24"/>
      <c r="N51" s="24"/>
      <c r="O51" s="22"/>
    </row>
    <row r="52" spans="2:15" s="9" customFormat="1">
      <c r="D52" s="22"/>
      <c r="E52" s="22"/>
      <c r="F52" s="22"/>
      <c r="G52" s="22"/>
      <c r="H52" s="22"/>
      <c r="I52" s="26"/>
      <c r="J52" s="26"/>
      <c r="K52" s="26"/>
      <c r="L52" s="22"/>
      <c r="M52" s="24"/>
      <c r="N52" s="24"/>
      <c r="O52" s="22"/>
    </row>
    <row r="54" spans="2:15">
      <c r="B54" s="8" t="s">
        <v>147</v>
      </c>
      <c r="C54" s="6"/>
      <c r="D54" s="6"/>
      <c r="E54" s="6"/>
      <c r="F54" s="6"/>
      <c r="G54" s="6"/>
      <c r="H54" s="6"/>
      <c r="I54" s="6"/>
      <c r="J54" s="6"/>
      <c r="K54" s="6"/>
      <c r="L54" s="6"/>
      <c r="M54" s="156"/>
      <c r="N54" s="156"/>
      <c r="O54" s="37"/>
    </row>
    <row r="55" spans="2:15">
      <c r="B55" s="3"/>
      <c r="O55" s="23"/>
    </row>
    <row r="56" spans="2:15">
      <c r="B56" s="3"/>
      <c r="C56" s="25" t="s">
        <v>0</v>
      </c>
      <c r="D56" s="25" t="s">
        <v>1</v>
      </c>
      <c r="E56" s="25" t="s">
        <v>2</v>
      </c>
      <c r="F56" s="25" t="s">
        <v>3</v>
      </c>
      <c r="G56" s="25" t="s">
        <v>4</v>
      </c>
      <c r="H56" s="25" t="s">
        <v>5</v>
      </c>
      <c r="I56" s="25" t="s">
        <v>6</v>
      </c>
      <c r="J56" s="25" t="s">
        <v>7</v>
      </c>
      <c r="K56" s="25" t="s">
        <v>8</v>
      </c>
      <c r="L56" s="25">
        <v>2011</v>
      </c>
      <c r="M56" s="33">
        <v>2012</v>
      </c>
      <c r="N56" s="157"/>
      <c r="O56" s="96"/>
    </row>
    <row r="57" spans="2:15">
      <c r="B57" s="17" t="s">
        <v>102</v>
      </c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O57" s="23"/>
    </row>
    <row r="58" spans="2:15">
      <c r="B58" s="3" t="s">
        <v>98</v>
      </c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O58" s="23"/>
    </row>
    <row r="59" spans="2:15">
      <c r="B59" s="3" t="s">
        <v>99</v>
      </c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O59" s="23"/>
    </row>
    <row r="60" spans="2:15">
      <c r="B60" s="3" t="s">
        <v>83</v>
      </c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O60" s="23"/>
    </row>
    <row r="61" spans="2:15">
      <c r="B61" s="3" t="s">
        <v>84</v>
      </c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O61" s="23"/>
    </row>
    <row r="62" spans="2:15">
      <c r="B62" s="3" t="s">
        <v>85</v>
      </c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O62" s="23"/>
    </row>
    <row r="63" spans="2:15">
      <c r="B63" s="3" t="s">
        <v>86</v>
      </c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O63" s="23"/>
    </row>
    <row r="64" spans="2:15">
      <c r="B64" s="3" t="s">
        <v>87</v>
      </c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O64" s="23"/>
    </row>
    <row r="65" spans="2:15">
      <c r="B65" s="3" t="s">
        <v>88</v>
      </c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O65" s="23"/>
    </row>
    <row r="66" spans="2:15">
      <c r="B66" s="3" t="s">
        <v>89</v>
      </c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O66" s="23"/>
    </row>
    <row r="67" spans="2:15">
      <c r="B67" s="3" t="s">
        <v>90</v>
      </c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O67" s="23"/>
    </row>
    <row r="68" spans="2:15">
      <c r="B68" s="3" t="s">
        <v>91</v>
      </c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O68" s="23"/>
    </row>
    <row r="69" spans="2:15">
      <c r="B69" s="3" t="s">
        <v>92</v>
      </c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O69" s="23"/>
    </row>
    <row r="70" spans="2:15">
      <c r="B70" s="3" t="s">
        <v>95</v>
      </c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O70" s="23"/>
    </row>
    <row r="71" spans="2:15">
      <c r="B71" s="3" t="s">
        <v>96</v>
      </c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O71" s="23"/>
    </row>
    <row r="72" spans="2:15">
      <c r="B72" s="3" t="s">
        <v>93</v>
      </c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O72" s="23"/>
    </row>
    <row r="73" spans="2:15">
      <c r="B73" s="3" t="s">
        <v>97</v>
      </c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O73" s="23"/>
    </row>
    <row r="74" spans="2:15">
      <c r="B74" s="3" t="s">
        <v>136</v>
      </c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O74" s="23"/>
    </row>
    <row r="75" spans="2:15">
      <c r="B75" s="5" t="s">
        <v>94</v>
      </c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5"/>
      <c r="O75" s="27"/>
    </row>
    <row r="76" spans="2:15" s="9" customFormat="1">
      <c r="C76" s="20"/>
      <c r="D76" s="20"/>
      <c r="E76" s="20"/>
      <c r="F76" s="20"/>
      <c r="G76" s="20"/>
      <c r="H76" s="20"/>
      <c r="I76" s="20"/>
      <c r="J76" s="20"/>
      <c r="K76" s="20"/>
      <c r="M76" s="24"/>
      <c r="N76" s="24"/>
      <c r="O76" s="22"/>
    </row>
    <row r="77" spans="2:15" s="9" customFormat="1">
      <c r="C77" s="20"/>
      <c r="D77" s="20"/>
      <c r="E77" s="20"/>
      <c r="F77" s="20"/>
      <c r="G77" s="20"/>
      <c r="H77" s="20"/>
      <c r="I77" s="20"/>
      <c r="J77" s="20"/>
      <c r="K77" s="20"/>
      <c r="M77" s="24"/>
      <c r="N77" s="24"/>
      <c r="O77" s="22"/>
    </row>
    <row r="78" spans="2:15" s="9" customFormat="1">
      <c r="C78" s="20"/>
      <c r="D78" s="20"/>
      <c r="E78" s="20"/>
      <c r="F78" s="20"/>
      <c r="G78" s="20"/>
      <c r="H78" s="20"/>
      <c r="I78" s="20"/>
      <c r="J78" s="20"/>
      <c r="K78" s="20"/>
      <c r="M78" s="24"/>
      <c r="N78" s="24"/>
      <c r="O78" s="22"/>
    </row>
    <row r="79" spans="2:15" s="9" customFormat="1">
      <c r="C79" s="20"/>
      <c r="D79" s="20"/>
      <c r="E79" s="20"/>
      <c r="F79" s="20"/>
      <c r="G79" s="20"/>
      <c r="H79" s="20"/>
      <c r="I79" s="20"/>
      <c r="J79" s="20"/>
      <c r="K79" s="20"/>
      <c r="M79" s="24"/>
      <c r="N79" s="24"/>
      <c r="O79" s="22"/>
    </row>
    <row r="80" spans="2:15">
      <c r="D80" s="7"/>
    </row>
    <row r="81" spans="2:15">
      <c r="B81" s="15" t="s">
        <v>148</v>
      </c>
      <c r="C81" s="16"/>
      <c r="D81" s="16"/>
      <c r="E81" s="16"/>
      <c r="F81" s="16"/>
      <c r="G81" s="16"/>
      <c r="H81" s="16"/>
      <c r="I81" s="16"/>
      <c r="J81" s="16"/>
      <c r="K81" s="11"/>
      <c r="L81" s="11"/>
      <c r="M81" s="156"/>
      <c r="N81" s="156"/>
      <c r="O81" s="37"/>
    </row>
    <row r="82" spans="2:15">
      <c r="B82" s="17"/>
      <c r="C82" s="18"/>
      <c r="D82" s="18"/>
      <c r="E82" s="18"/>
      <c r="F82" s="18"/>
      <c r="G82" s="18"/>
      <c r="H82" s="18"/>
      <c r="I82" s="18"/>
      <c r="J82" s="18"/>
      <c r="K82" s="18"/>
      <c r="L82" s="18"/>
      <c r="O82" s="23"/>
    </row>
    <row r="83" spans="2:15">
      <c r="B83" s="17"/>
      <c r="C83" s="25" t="s">
        <v>0</v>
      </c>
      <c r="D83" s="25" t="s">
        <v>1</v>
      </c>
      <c r="E83" s="25" t="s">
        <v>2</v>
      </c>
      <c r="F83" s="25" t="s">
        <v>3</v>
      </c>
      <c r="G83" s="25" t="s">
        <v>4</v>
      </c>
      <c r="H83" s="25" t="s">
        <v>5</v>
      </c>
      <c r="I83" s="25" t="s">
        <v>6</v>
      </c>
      <c r="J83" s="25" t="s">
        <v>7</v>
      </c>
      <c r="K83" s="25" t="s">
        <v>8</v>
      </c>
      <c r="L83" s="25">
        <v>2011</v>
      </c>
      <c r="M83" s="152">
        <v>2012</v>
      </c>
      <c r="N83" s="157"/>
      <c r="O83" s="96"/>
    </row>
    <row r="84" spans="2:15">
      <c r="B84" s="17" t="s">
        <v>102</v>
      </c>
      <c r="C84" s="47"/>
      <c r="D84" s="47"/>
      <c r="E84" s="47"/>
      <c r="F84" s="47"/>
      <c r="G84" s="22"/>
      <c r="H84" s="22"/>
      <c r="I84" s="22"/>
      <c r="J84" s="22"/>
      <c r="K84" s="22"/>
      <c r="L84" s="22"/>
      <c r="M84" s="152"/>
      <c r="O84" s="23"/>
    </row>
    <row r="85" spans="2:15">
      <c r="B85" s="17" t="s">
        <v>98</v>
      </c>
      <c r="C85" s="47"/>
      <c r="D85" s="47"/>
      <c r="E85" s="47"/>
      <c r="F85" s="47"/>
      <c r="G85" s="22"/>
      <c r="H85" s="22"/>
      <c r="I85" s="22"/>
      <c r="J85" s="22"/>
      <c r="K85" s="22"/>
      <c r="L85" s="22"/>
      <c r="M85" s="152"/>
      <c r="O85" s="23"/>
    </row>
    <row r="86" spans="2:15">
      <c r="B86" s="17" t="s">
        <v>99</v>
      </c>
      <c r="C86" s="47"/>
      <c r="D86" s="47"/>
      <c r="E86" s="47"/>
      <c r="F86" s="47"/>
      <c r="G86" s="22"/>
      <c r="H86" s="22"/>
      <c r="I86" s="22"/>
      <c r="J86" s="22"/>
      <c r="K86" s="22"/>
      <c r="L86" s="22"/>
      <c r="M86" s="152"/>
      <c r="O86" s="23"/>
    </row>
    <row r="87" spans="2:15">
      <c r="B87" s="17" t="s">
        <v>83</v>
      </c>
      <c r="C87" s="47"/>
      <c r="D87" s="47"/>
      <c r="E87" s="47"/>
      <c r="F87" s="47"/>
      <c r="G87" s="22"/>
      <c r="H87" s="22"/>
      <c r="I87" s="22"/>
      <c r="J87" s="22"/>
      <c r="K87" s="22"/>
      <c r="L87" s="22"/>
      <c r="M87" s="152"/>
      <c r="O87" s="23"/>
    </row>
    <row r="88" spans="2:15">
      <c r="B88" s="17" t="s">
        <v>84</v>
      </c>
      <c r="C88" s="47"/>
      <c r="D88" s="47"/>
      <c r="E88" s="47"/>
      <c r="F88" s="47"/>
      <c r="G88" s="22"/>
      <c r="H88" s="22"/>
      <c r="I88" s="22"/>
      <c r="J88" s="22"/>
      <c r="K88" s="22"/>
      <c r="L88" s="22"/>
      <c r="M88" s="152"/>
      <c r="O88" s="23"/>
    </row>
    <row r="89" spans="2:15">
      <c r="B89" s="17" t="s">
        <v>85</v>
      </c>
      <c r="C89" s="47"/>
      <c r="D89" s="47"/>
      <c r="E89" s="47"/>
      <c r="F89" s="47"/>
      <c r="G89" s="22"/>
      <c r="H89" s="22"/>
      <c r="I89" s="22"/>
      <c r="J89" s="22"/>
      <c r="K89" s="22"/>
      <c r="L89" s="22"/>
      <c r="M89" s="152"/>
      <c r="O89" s="23"/>
    </row>
    <row r="90" spans="2:15">
      <c r="B90" s="17" t="s">
        <v>86</v>
      </c>
      <c r="C90" s="47"/>
      <c r="D90" s="47"/>
      <c r="E90" s="47"/>
      <c r="F90" s="47"/>
      <c r="G90" s="22"/>
      <c r="H90" s="22"/>
      <c r="I90" s="22"/>
      <c r="J90" s="22"/>
      <c r="K90" s="22"/>
      <c r="L90" s="22"/>
      <c r="M90" s="152"/>
      <c r="O90" s="23"/>
    </row>
    <row r="91" spans="2:15">
      <c r="B91" s="17" t="s">
        <v>87</v>
      </c>
      <c r="C91" s="47"/>
      <c r="D91" s="47"/>
      <c r="E91" s="47"/>
      <c r="F91" s="47"/>
      <c r="G91" s="22"/>
      <c r="H91" s="22"/>
      <c r="I91" s="22"/>
      <c r="J91" s="22"/>
      <c r="K91" s="22"/>
      <c r="L91" s="22"/>
      <c r="M91" s="152"/>
      <c r="O91" s="23"/>
    </row>
    <row r="92" spans="2:15">
      <c r="B92" s="17" t="s">
        <v>88</v>
      </c>
      <c r="C92" s="47"/>
      <c r="D92" s="47"/>
      <c r="E92" s="47"/>
      <c r="F92" s="47"/>
      <c r="G92" s="22"/>
      <c r="H92" s="22"/>
      <c r="I92" s="22"/>
      <c r="J92" s="22"/>
      <c r="K92" s="22"/>
      <c r="L92" s="22"/>
      <c r="M92" s="152"/>
      <c r="O92" s="23"/>
    </row>
    <row r="93" spans="2:15">
      <c r="B93" s="17" t="s">
        <v>89</v>
      </c>
      <c r="C93" s="47"/>
      <c r="D93" s="47"/>
      <c r="E93" s="47"/>
      <c r="F93" s="47"/>
      <c r="G93" s="22"/>
      <c r="H93" s="22"/>
      <c r="I93" s="22"/>
      <c r="J93" s="22"/>
      <c r="K93" s="22"/>
      <c r="L93" s="22"/>
      <c r="M93" s="152"/>
      <c r="O93" s="23"/>
    </row>
    <row r="94" spans="2:15">
      <c r="B94" s="17" t="s">
        <v>90</v>
      </c>
      <c r="C94" s="47"/>
      <c r="D94" s="47"/>
      <c r="E94" s="47"/>
      <c r="F94" s="47"/>
      <c r="G94" s="22"/>
      <c r="H94" s="22"/>
      <c r="I94" s="22"/>
      <c r="J94" s="22"/>
      <c r="K94" s="22"/>
      <c r="L94" s="22"/>
      <c r="M94" s="152"/>
      <c r="O94" s="23"/>
    </row>
    <row r="95" spans="2:15">
      <c r="B95" s="17" t="s">
        <v>91</v>
      </c>
      <c r="C95" s="47"/>
      <c r="D95" s="47"/>
      <c r="E95" s="47"/>
      <c r="F95" s="47"/>
      <c r="G95" s="22"/>
      <c r="H95" s="22"/>
      <c r="I95" s="22"/>
      <c r="J95" s="22"/>
      <c r="K95" s="22"/>
      <c r="L95" s="22"/>
      <c r="M95" s="152"/>
      <c r="O95" s="23"/>
    </row>
    <row r="96" spans="2:15">
      <c r="B96" s="17" t="s">
        <v>92</v>
      </c>
      <c r="C96" s="47"/>
      <c r="D96" s="47"/>
      <c r="E96" s="47"/>
      <c r="F96" s="47"/>
      <c r="G96" s="22"/>
      <c r="H96" s="22"/>
      <c r="I96" s="22"/>
      <c r="J96" s="22"/>
      <c r="K96" s="22"/>
      <c r="L96" s="22"/>
      <c r="M96" s="152"/>
      <c r="O96" s="23"/>
    </row>
    <row r="97" spans="2:15">
      <c r="B97" s="17" t="s">
        <v>95</v>
      </c>
      <c r="C97" s="47"/>
      <c r="D97" s="47"/>
      <c r="E97" s="47"/>
      <c r="F97" s="47"/>
      <c r="G97" s="24"/>
      <c r="H97" s="24"/>
      <c r="I97" s="24"/>
      <c r="J97" s="24"/>
      <c r="K97" s="24"/>
      <c r="L97" s="24"/>
      <c r="M97" s="24"/>
      <c r="O97" s="23"/>
    </row>
    <row r="98" spans="2:15">
      <c r="B98" s="17" t="s">
        <v>96</v>
      </c>
      <c r="C98" s="47"/>
      <c r="D98" s="47"/>
      <c r="E98" s="47"/>
      <c r="F98" s="47"/>
      <c r="G98" s="24"/>
      <c r="H98" s="24"/>
      <c r="I98" s="24"/>
      <c r="J98" s="24"/>
      <c r="K98" s="24"/>
      <c r="L98" s="24"/>
      <c r="M98" s="24"/>
      <c r="O98" s="23"/>
    </row>
    <row r="99" spans="2:15">
      <c r="B99" s="17" t="s">
        <v>93</v>
      </c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24"/>
      <c r="O99" s="23"/>
    </row>
    <row r="100" spans="2:15">
      <c r="B100" s="17" t="s">
        <v>97</v>
      </c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2"/>
      <c r="O100" s="23"/>
    </row>
    <row r="101" spans="2:15">
      <c r="B101" s="3" t="s">
        <v>136</v>
      </c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2"/>
      <c r="O101" s="23"/>
    </row>
    <row r="102" spans="2:15">
      <c r="B102" s="19" t="s">
        <v>94</v>
      </c>
      <c r="C102" s="52"/>
      <c r="D102" s="52"/>
      <c r="E102" s="52"/>
      <c r="F102" s="52"/>
      <c r="G102" s="44"/>
      <c r="H102" s="44"/>
      <c r="I102" s="44"/>
      <c r="J102" s="44"/>
      <c r="K102" s="44"/>
      <c r="L102" s="44"/>
      <c r="M102" s="153"/>
      <c r="N102" s="35"/>
      <c r="O102" s="27"/>
    </row>
    <row r="103" spans="2:15" s="9" customFormat="1">
      <c r="B103" s="38"/>
      <c r="C103" s="40"/>
      <c r="D103" s="40"/>
      <c r="E103" s="40"/>
      <c r="F103" s="40"/>
      <c r="G103" s="40"/>
      <c r="H103" s="40"/>
      <c r="I103" s="40"/>
      <c r="J103" s="40"/>
      <c r="K103" s="40"/>
      <c r="L103" s="22"/>
      <c r="M103" s="24"/>
      <c r="N103" s="24"/>
      <c r="O103" s="22"/>
    </row>
    <row r="104" spans="2:15" s="9" customFormat="1">
      <c r="B104" s="38"/>
      <c r="C104" s="40"/>
      <c r="D104" s="40"/>
      <c r="E104" s="40"/>
      <c r="F104" s="40"/>
      <c r="G104" s="40"/>
      <c r="H104" s="40"/>
      <c r="I104" s="40"/>
      <c r="J104" s="40"/>
      <c r="K104" s="40"/>
      <c r="L104" s="22"/>
      <c r="M104" s="24"/>
      <c r="N104" s="24"/>
      <c r="O104" s="22"/>
    </row>
    <row r="105" spans="2:15" s="9" customFormat="1">
      <c r="B105" s="64"/>
      <c r="C105" s="40"/>
      <c r="D105" s="40"/>
      <c r="E105" s="40"/>
      <c r="F105" s="40"/>
      <c r="G105" s="40"/>
      <c r="H105" s="40"/>
      <c r="I105" s="40"/>
      <c r="J105" s="40"/>
      <c r="K105" s="40"/>
      <c r="L105" s="22"/>
      <c r="M105" s="24"/>
      <c r="N105" s="24"/>
      <c r="O105" s="22"/>
    </row>
    <row r="106" spans="2:15" s="9" customFormat="1">
      <c r="B106" s="64"/>
      <c r="C106" s="40"/>
      <c r="D106" s="40"/>
      <c r="E106" s="40"/>
      <c r="F106" s="40"/>
      <c r="G106" s="40"/>
      <c r="H106" s="40"/>
      <c r="I106" s="40"/>
      <c r="J106" s="40"/>
      <c r="K106" s="40"/>
      <c r="L106" s="22"/>
      <c r="M106" s="24"/>
      <c r="N106" s="24"/>
      <c r="O106" s="22"/>
    </row>
    <row r="108" spans="2:15">
      <c r="B108" s="15" t="s">
        <v>149</v>
      </c>
      <c r="C108" s="16"/>
      <c r="D108" s="16"/>
      <c r="E108" s="16"/>
      <c r="F108" s="16"/>
      <c r="G108" s="16"/>
      <c r="H108" s="16"/>
      <c r="I108" s="16"/>
      <c r="J108" s="16"/>
      <c r="K108" s="11"/>
      <c r="L108" s="11"/>
      <c r="M108" s="156"/>
      <c r="N108" s="156"/>
      <c r="O108" s="37"/>
    </row>
    <row r="109" spans="2:15">
      <c r="B109" s="17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O109" s="23"/>
    </row>
    <row r="110" spans="2:15">
      <c r="B110" s="17"/>
      <c r="C110" s="25" t="s">
        <v>0</v>
      </c>
      <c r="D110" s="25" t="s">
        <v>1</v>
      </c>
      <c r="E110" s="25" t="s">
        <v>2</v>
      </c>
      <c r="F110" s="25" t="s">
        <v>3</v>
      </c>
      <c r="G110" s="25" t="s">
        <v>4</v>
      </c>
      <c r="H110" s="25" t="s">
        <v>5</v>
      </c>
      <c r="I110" s="25" t="s">
        <v>6</v>
      </c>
      <c r="J110" s="25" t="s">
        <v>7</v>
      </c>
      <c r="K110" s="25" t="s">
        <v>8</v>
      </c>
      <c r="L110" s="25">
        <v>2011</v>
      </c>
      <c r="M110" s="152">
        <v>2012</v>
      </c>
      <c r="N110" s="157"/>
      <c r="O110" s="96"/>
    </row>
    <row r="111" spans="2:15">
      <c r="B111" s="17" t="s">
        <v>102</v>
      </c>
      <c r="C111" s="24"/>
      <c r="D111" s="42"/>
      <c r="E111" s="42"/>
      <c r="F111" s="42"/>
      <c r="G111" s="22"/>
      <c r="H111" s="40"/>
      <c r="I111" s="40"/>
      <c r="J111" s="40"/>
      <c r="K111" s="40"/>
      <c r="L111" s="22"/>
      <c r="M111" s="152"/>
      <c r="O111" s="23"/>
    </row>
    <row r="112" spans="2:15">
      <c r="B112" s="17" t="s">
        <v>98</v>
      </c>
      <c r="C112" s="24"/>
      <c r="D112" s="42"/>
      <c r="E112" s="42"/>
      <c r="F112" s="42"/>
      <c r="G112" s="22"/>
      <c r="H112" s="40"/>
      <c r="I112" s="40"/>
      <c r="J112" s="40"/>
      <c r="K112" s="40"/>
      <c r="L112" s="22"/>
      <c r="M112" s="152"/>
      <c r="O112" s="23"/>
    </row>
    <row r="113" spans="2:15">
      <c r="B113" s="17" t="s">
        <v>99</v>
      </c>
      <c r="C113" s="24"/>
      <c r="D113" s="42"/>
      <c r="E113" s="42"/>
      <c r="F113" s="42"/>
      <c r="G113" s="22"/>
      <c r="H113" s="40"/>
      <c r="I113" s="40"/>
      <c r="J113" s="40"/>
      <c r="K113" s="40"/>
      <c r="L113" s="22"/>
      <c r="M113" s="152"/>
      <c r="O113" s="23"/>
    </row>
    <row r="114" spans="2:15">
      <c r="B114" s="17" t="s">
        <v>83</v>
      </c>
      <c r="C114" s="24"/>
      <c r="D114" s="42"/>
      <c r="E114" s="42"/>
      <c r="F114" s="42"/>
      <c r="G114" s="22"/>
      <c r="H114" s="40"/>
      <c r="I114" s="40"/>
      <c r="J114" s="40"/>
      <c r="K114" s="40"/>
      <c r="L114" s="22"/>
      <c r="M114" s="152"/>
      <c r="O114" s="23"/>
    </row>
    <row r="115" spans="2:15">
      <c r="B115" s="17" t="s">
        <v>84</v>
      </c>
      <c r="C115" s="24"/>
      <c r="D115" s="42"/>
      <c r="E115" s="42"/>
      <c r="F115" s="42"/>
      <c r="G115" s="22"/>
      <c r="H115" s="40"/>
      <c r="I115" s="40"/>
      <c r="J115" s="40"/>
      <c r="K115" s="40"/>
      <c r="L115" s="22"/>
      <c r="M115" s="152"/>
      <c r="O115" s="23"/>
    </row>
    <row r="116" spans="2:15">
      <c r="B116" s="17" t="s">
        <v>85</v>
      </c>
      <c r="C116" s="24"/>
      <c r="D116" s="42"/>
      <c r="E116" s="42"/>
      <c r="F116" s="42"/>
      <c r="G116" s="22"/>
      <c r="H116" s="40"/>
      <c r="I116" s="40"/>
      <c r="J116" s="40"/>
      <c r="K116" s="40"/>
      <c r="L116" s="22"/>
      <c r="M116" s="152"/>
      <c r="O116" s="23"/>
    </row>
    <row r="117" spans="2:15">
      <c r="B117" s="17" t="s">
        <v>86</v>
      </c>
      <c r="C117" s="24"/>
      <c r="D117" s="42"/>
      <c r="E117" s="42"/>
      <c r="F117" s="42"/>
      <c r="G117" s="22"/>
      <c r="H117" s="40"/>
      <c r="I117" s="40"/>
      <c r="J117" s="40"/>
      <c r="K117" s="40"/>
      <c r="L117" s="22"/>
      <c r="M117" s="152"/>
      <c r="O117" s="23"/>
    </row>
    <row r="118" spans="2:15">
      <c r="B118" s="17" t="s">
        <v>87</v>
      </c>
      <c r="C118" s="24"/>
      <c r="D118" s="42"/>
      <c r="E118" s="42"/>
      <c r="F118" s="42"/>
      <c r="G118" s="22"/>
      <c r="H118" s="40"/>
      <c r="I118" s="40"/>
      <c r="J118" s="40"/>
      <c r="K118" s="40"/>
      <c r="L118" s="22"/>
      <c r="M118" s="152"/>
      <c r="O118" s="23"/>
    </row>
    <row r="119" spans="2:15">
      <c r="B119" s="17" t="s">
        <v>88</v>
      </c>
      <c r="C119" s="24"/>
      <c r="D119" s="42"/>
      <c r="E119" s="42"/>
      <c r="F119" s="42"/>
      <c r="G119" s="22"/>
      <c r="H119" s="40"/>
      <c r="I119" s="40"/>
      <c r="J119" s="40"/>
      <c r="K119" s="40"/>
      <c r="L119" s="22"/>
      <c r="M119" s="152"/>
      <c r="O119" s="23"/>
    </row>
    <row r="120" spans="2:15">
      <c r="B120" s="17" t="s">
        <v>89</v>
      </c>
      <c r="C120" s="24"/>
      <c r="D120" s="42"/>
      <c r="E120" s="42"/>
      <c r="F120" s="42"/>
      <c r="G120" s="22"/>
      <c r="H120" s="40"/>
      <c r="I120" s="40"/>
      <c r="J120" s="40"/>
      <c r="K120" s="40"/>
      <c r="L120" s="22"/>
      <c r="M120" s="152"/>
      <c r="O120" s="23"/>
    </row>
    <row r="121" spans="2:15">
      <c r="B121" s="17" t="s">
        <v>90</v>
      </c>
      <c r="C121" s="24"/>
      <c r="D121" s="42"/>
      <c r="E121" s="42"/>
      <c r="F121" s="42"/>
      <c r="G121" s="22"/>
      <c r="H121" s="40"/>
      <c r="I121" s="40"/>
      <c r="J121" s="40"/>
      <c r="K121" s="40"/>
      <c r="L121" s="22"/>
      <c r="M121" s="152"/>
      <c r="O121" s="23"/>
    </row>
    <row r="122" spans="2:15">
      <c r="B122" s="17" t="s">
        <v>91</v>
      </c>
      <c r="C122" s="24"/>
      <c r="D122" s="42"/>
      <c r="E122" s="42"/>
      <c r="F122" s="42"/>
      <c r="G122" s="22"/>
      <c r="H122" s="40"/>
      <c r="I122" s="40"/>
      <c r="J122" s="40"/>
      <c r="K122" s="40"/>
      <c r="L122" s="22"/>
      <c r="M122" s="152"/>
      <c r="O122" s="23"/>
    </row>
    <row r="123" spans="2:15">
      <c r="B123" s="17" t="s">
        <v>92</v>
      </c>
      <c r="C123" s="24"/>
      <c r="D123" s="42"/>
      <c r="E123" s="42"/>
      <c r="F123" s="42"/>
      <c r="G123" s="22"/>
      <c r="H123" s="40"/>
      <c r="I123" s="40"/>
      <c r="J123" s="40"/>
      <c r="K123" s="40"/>
      <c r="L123" s="22"/>
      <c r="M123" s="152"/>
      <c r="O123" s="23"/>
    </row>
    <row r="124" spans="2:15">
      <c r="B124" s="17" t="s">
        <v>95</v>
      </c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O124" s="23"/>
    </row>
    <row r="125" spans="2:15">
      <c r="B125" s="17" t="s">
        <v>96</v>
      </c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O125" s="23"/>
    </row>
    <row r="126" spans="2:15">
      <c r="B126" s="17" t="s">
        <v>93</v>
      </c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O126" s="23"/>
    </row>
    <row r="127" spans="2:15">
      <c r="B127" s="17" t="s">
        <v>97</v>
      </c>
      <c r="C127" s="83"/>
      <c r="D127" s="83"/>
      <c r="E127" s="83"/>
      <c r="F127" s="83"/>
      <c r="G127" s="83"/>
      <c r="H127" s="83"/>
      <c r="I127" s="83"/>
      <c r="J127" s="83"/>
      <c r="K127" s="83"/>
      <c r="L127" s="83"/>
      <c r="M127" s="31"/>
      <c r="O127" s="23"/>
    </row>
    <row r="128" spans="2:15">
      <c r="B128" s="3" t="s">
        <v>136</v>
      </c>
      <c r="C128" s="83"/>
      <c r="D128" s="83"/>
      <c r="E128" s="83"/>
      <c r="F128" s="83"/>
      <c r="G128" s="83"/>
      <c r="H128" s="83"/>
      <c r="I128" s="83"/>
      <c r="J128" s="83"/>
      <c r="K128" s="83"/>
      <c r="L128" s="83"/>
      <c r="M128" s="31"/>
      <c r="O128" s="23"/>
    </row>
    <row r="129" spans="2:15">
      <c r="B129" s="19" t="s">
        <v>94</v>
      </c>
      <c r="C129" s="44"/>
      <c r="D129" s="41"/>
      <c r="E129" s="41"/>
      <c r="F129" s="41"/>
      <c r="G129" s="44"/>
      <c r="H129" s="41"/>
      <c r="I129" s="41"/>
      <c r="J129" s="41"/>
      <c r="K129" s="41"/>
      <c r="L129" s="44"/>
      <c r="M129" s="153"/>
      <c r="N129" s="35"/>
      <c r="O129" s="27"/>
    </row>
    <row r="130" spans="2:15" s="9" customFormat="1">
      <c r="B130" s="38"/>
      <c r="C130" s="51"/>
      <c r="D130" s="24"/>
      <c r="E130" s="24"/>
      <c r="F130" s="24"/>
      <c r="G130" s="51"/>
      <c r="H130" s="24"/>
      <c r="I130" s="24"/>
      <c r="J130" s="24"/>
      <c r="K130" s="24"/>
      <c r="L130" s="22"/>
      <c r="M130" s="24"/>
      <c r="N130" s="24"/>
      <c r="O130" s="22"/>
    </row>
    <row r="131" spans="2:15" s="9" customFormat="1">
      <c r="B131" s="38"/>
      <c r="C131" s="51"/>
      <c r="D131" s="24"/>
      <c r="E131" s="24"/>
      <c r="F131" s="24"/>
      <c r="G131" s="51"/>
      <c r="H131" s="24"/>
      <c r="I131" s="24"/>
      <c r="J131" s="24"/>
      <c r="K131" s="24"/>
      <c r="L131" s="22"/>
      <c r="M131" s="24"/>
      <c r="N131" s="24"/>
      <c r="O131" s="22"/>
    </row>
    <row r="132" spans="2:15" s="9" customFormat="1">
      <c r="B132" s="38"/>
      <c r="C132" s="51"/>
      <c r="D132" s="24"/>
      <c r="E132" s="24"/>
      <c r="F132" s="24"/>
      <c r="G132" s="51"/>
      <c r="H132" s="24"/>
      <c r="I132" s="24"/>
      <c r="J132" s="24"/>
      <c r="K132" s="24"/>
      <c r="L132" s="22"/>
      <c r="M132" s="24"/>
      <c r="N132" s="24"/>
      <c r="O132" s="22"/>
    </row>
    <row r="133" spans="2:15" s="9" customFormat="1">
      <c r="B133" s="38"/>
      <c r="C133" s="51"/>
      <c r="D133" s="24"/>
      <c r="E133" s="24"/>
      <c r="F133" s="24"/>
      <c r="G133" s="51"/>
      <c r="H133" s="24"/>
      <c r="I133" s="24"/>
      <c r="J133" s="24"/>
      <c r="K133" s="24"/>
      <c r="L133" s="22"/>
      <c r="M133" s="24"/>
      <c r="N133" s="24"/>
      <c r="O133" s="22"/>
    </row>
    <row r="134" spans="2:15" s="9" customFormat="1">
      <c r="B134" s="38"/>
      <c r="C134" s="51"/>
      <c r="D134" s="24"/>
      <c r="E134" s="24"/>
      <c r="F134" s="24"/>
      <c r="G134" s="51"/>
      <c r="H134" s="24"/>
      <c r="I134" s="24"/>
      <c r="J134" s="24"/>
      <c r="K134" s="24"/>
      <c r="L134" s="22"/>
      <c r="M134" s="24"/>
      <c r="N134" s="24"/>
      <c r="O134" s="22"/>
    </row>
    <row r="136" spans="2:15">
      <c r="B136" s="10" t="s">
        <v>150</v>
      </c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56"/>
      <c r="N136" s="156"/>
      <c r="O136" s="37"/>
    </row>
    <row r="137" spans="2:15">
      <c r="B137" s="17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O137" s="23"/>
    </row>
    <row r="138" spans="2:15">
      <c r="B138" s="17"/>
      <c r="C138" s="25" t="s">
        <v>0</v>
      </c>
      <c r="D138" s="25" t="s">
        <v>1</v>
      </c>
      <c r="E138" s="25" t="s">
        <v>2</v>
      </c>
      <c r="F138" s="25" t="s">
        <v>3</v>
      </c>
      <c r="G138" s="25" t="s">
        <v>4</v>
      </c>
      <c r="H138" s="25" t="s">
        <v>5</v>
      </c>
      <c r="I138" s="25" t="s">
        <v>6</v>
      </c>
      <c r="J138" s="25" t="s">
        <v>7</v>
      </c>
      <c r="K138" s="25" t="s">
        <v>8</v>
      </c>
      <c r="L138" s="25">
        <v>2011</v>
      </c>
      <c r="M138" s="152">
        <v>2012</v>
      </c>
      <c r="N138" s="157"/>
      <c r="O138" s="96"/>
    </row>
    <row r="139" spans="2:15">
      <c r="B139" s="17" t="s">
        <v>102</v>
      </c>
      <c r="C139" s="48"/>
      <c r="D139" s="48"/>
      <c r="E139" s="48"/>
      <c r="F139" s="48"/>
      <c r="G139" s="40"/>
      <c r="H139" s="40"/>
      <c r="I139" s="40"/>
      <c r="J139" s="40"/>
      <c r="K139" s="40"/>
      <c r="L139" s="22"/>
      <c r="M139" s="152"/>
      <c r="O139" s="23"/>
    </row>
    <row r="140" spans="2:15">
      <c r="B140" s="17" t="s">
        <v>98</v>
      </c>
      <c r="C140" s="48"/>
      <c r="D140" s="48"/>
      <c r="E140" s="48"/>
      <c r="F140" s="48"/>
      <c r="G140" s="40"/>
      <c r="H140" s="40"/>
      <c r="I140" s="40"/>
      <c r="J140" s="40"/>
      <c r="K140" s="40"/>
      <c r="L140" s="22"/>
      <c r="M140" s="152"/>
      <c r="O140" s="23"/>
    </row>
    <row r="141" spans="2:15">
      <c r="B141" s="17" t="s">
        <v>99</v>
      </c>
      <c r="C141" s="48"/>
      <c r="D141" s="48"/>
      <c r="E141" s="48"/>
      <c r="F141" s="48"/>
      <c r="G141" s="40"/>
      <c r="H141" s="40"/>
      <c r="I141" s="40"/>
      <c r="J141" s="40"/>
      <c r="K141" s="40"/>
      <c r="L141" s="22"/>
      <c r="M141" s="152"/>
      <c r="O141" s="23"/>
    </row>
    <row r="142" spans="2:15">
      <c r="B142" s="17" t="s">
        <v>83</v>
      </c>
      <c r="C142" s="48"/>
      <c r="D142" s="48"/>
      <c r="E142" s="48"/>
      <c r="F142" s="48"/>
      <c r="G142" s="40"/>
      <c r="H142" s="40"/>
      <c r="I142" s="40"/>
      <c r="J142" s="40"/>
      <c r="K142" s="40"/>
      <c r="L142" s="22"/>
      <c r="M142" s="152"/>
      <c r="O142" s="23"/>
    </row>
    <row r="143" spans="2:15">
      <c r="B143" s="17" t="s">
        <v>84</v>
      </c>
      <c r="C143" s="48"/>
      <c r="D143" s="48"/>
      <c r="E143" s="48"/>
      <c r="F143" s="48"/>
      <c r="G143" s="40"/>
      <c r="H143" s="40"/>
      <c r="I143" s="40"/>
      <c r="J143" s="40"/>
      <c r="K143" s="40"/>
      <c r="L143" s="22"/>
      <c r="M143" s="152"/>
      <c r="O143" s="23"/>
    </row>
    <row r="144" spans="2:15">
      <c r="B144" s="17" t="s">
        <v>85</v>
      </c>
      <c r="C144" s="48"/>
      <c r="D144" s="48"/>
      <c r="E144" s="48"/>
      <c r="F144" s="48"/>
      <c r="G144" s="40"/>
      <c r="H144" s="40"/>
      <c r="I144" s="40"/>
      <c r="J144" s="40"/>
      <c r="K144" s="40"/>
      <c r="L144" s="22"/>
      <c r="M144" s="152"/>
      <c r="O144" s="23"/>
    </row>
    <row r="145" spans="2:15">
      <c r="B145" s="17" t="s">
        <v>86</v>
      </c>
      <c r="C145" s="48"/>
      <c r="D145" s="48"/>
      <c r="E145" s="48"/>
      <c r="F145" s="48"/>
      <c r="G145" s="40"/>
      <c r="H145" s="40"/>
      <c r="I145" s="40"/>
      <c r="J145" s="40"/>
      <c r="K145" s="40"/>
      <c r="L145" s="22"/>
      <c r="M145" s="152"/>
      <c r="O145" s="23"/>
    </row>
    <row r="146" spans="2:15">
      <c r="B146" s="17" t="s">
        <v>87</v>
      </c>
      <c r="C146" s="48"/>
      <c r="D146" s="48"/>
      <c r="E146" s="48"/>
      <c r="F146" s="48"/>
      <c r="G146" s="40"/>
      <c r="H146" s="40"/>
      <c r="I146" s="40"/>
      <c r="J146" s="40"/>
      <c r="K146" s="40"/>
      <c r="L146" s="22"/>
      <c r="M146" s="152"/>
      <c r="O146" s="23"/>
    </row>
    <row r="147" spans="2:15">
      <c r="B147" s="17" t="s">
        <v>88</v>
      </c>
      <c r="C147" s="48"/>
      <c r="D147" s="48"/>
      <c r="E147" s="48"/>
      <c r="F147" s="48"/>
      <c r="G147" s="40"/>
      <c r="H147" s="40"/>
      <c r="I147" s="40"/>
      <c r="J147" s="40"/>
      <c r="K147" s="40"/>
      <c r="L147" s="22"/>
      <c r="M147" s="152"/>
      <c r="O147" s="23"/>
    </row>
    <row r="148" spans="2:15">
      <c r="B148" s="17" t="s">
        <v>89</v>
      </c>
      <c r="C148" s="48"/>
      <c r="D148" s="48"/>
      <c r="E148" s="48"/>
      <c r="F148" s="48"/>
      <c r="G148" s="40"/>
      <c r="H148" s="40"/>
      <c r="I148" s="40"/>
      <c r="J148" s="40"/>
      <c r="K148" s="40"/>
      <c r="L148" s="22"/>
      <c r="M148" s="152"/>
      <c r="O148" s="23"/>
    </row>
    <row r="149" spans="2:15">
      <c r="B149" s="17" t="s">
        <v>90</v>
      </c>
      <c r="C149" s="48"/>
      <c r="D149" s="48"/>
      <c r="E149" s="48"/>
      <c r="F149" s="48"/>
      <c r="G149" s="40"/>
      <c r="H149" s="40"/>
      <c r="I149" s="40"/>
      <c r="J149" s="40"/>
      <c r="K149" s="40"/>
      <c r="L149" s="22"/>
      <c r="M149" s="152"/>
      <c r="O149" s="23"/>
    </row>
    <row r="150" spans="2:15">
      <c r="B150" s="17" t="s">
        <v>91</v>
      </c>
      <c r="C150" s="48"/>
      <c r="D150" s="48"/>
      <c r="E150" s="48"/>
      <c r="F150" s="48"/>
      <c r="G150" s="40"/>
      <c r="H150" s="40"/>
      <c r="I150" s="40"/>
      <c r="J150" s="40"/>
      <c r="K150" s="40"/>
      <c r="L150" s="22"/>
      <c r="M150" s="152"/>
      <c r="O150" s="23"/>
    </row>
    <row r="151" spans="2:15">
      <c r="B151" s="17" t="s">
        <v>92</v>
      </c>
      <c r="C151" s="48"/>
      <c r="D151" s="48"/>
      <c r="E151" s="48"/>
      <c r="F151" s="48"/>
      <c r="G151" s="40"/>
      <c r="H151" s="40"/>
      <c r="I151" s="40"/>
      <c r="J151" s="40"/>
      <c r="K151" s="40"/>
      <c r="L151" s="22"/>
      <c r="M151" s="152"/>
      <c r="O151" s="23"/>
    </row>
    <row r="152" spans="2:15">
      <c r="B152" s="17" t="s">
        <v>95</v>
      </c>
      <c r="C152" s="47"/>
      <c r="D152" s="47"/>
      <c r="E152" s="47"/>
      <c r="F152" s="47"/>
      <c r="G152" s="24"/>
      <c r="H152" s="24"/>
      <c r="I152" s="24"/>
      <c r="J152" s="24"/>
      <c r="K152" s="24"/>
      <c r="L152" s="24"/>
      <c r="M152" s="24"/>
      <c r="O152" s="23"/>
    </row>
    <row r="153" spans="2:15">
      <c r="B153" s="17" t="s">
        <v>96</v>
      </c>
      <c r="C153" s="47"/>
      <c r="D153" s="47"/>
      <c r="E153" s="47"/>
      <c r="F153" s="47"/>
      <c r="G153" s="24"/>
      <c r="H153" s="24"/>
      <c r="I153" s="24"/>
      <c r="J153" s="24"/>
      <c r="K153" s="24"/>
      <c r="L153" s="24"/>
      <c r="M153" s="24"/>
      <c r="O153" s="23"/>
    </row>
    <row r="154" spans="2:15">
      <c r="B154" s="17" t="s">
        <v>93</v>
      </c>
      <c r="C154" s="47"/>
      <c r="D154" s="47"/>
      <c r="E154" s="47"/>
      <c r="F154" s="47"/>
      <c r="G154" s="24"/>
      <c r="H154" s="24"/>
      <c r="I154" s="24"/>
      <c r="J154" s="24"/>
      <c r="K154" s="24"/>
      <c r="L154" s="24"/>
      <c r="M154" s="24"/>
      <c r="O154" s="23"/>
    </row>
    <row r="155" spans="2:15">
      <c r="B155" s="17" t="s">
        <v>97</v>
      </c>
      <c r="C155" s="83"/>
      <c r="D155" s="83"/>
      <c r="E155" s="83"/>
      <c r="F155" s="83"/>
      <c r="G155" s="84"/>
      <c r="H155" s="84"/>
      <c r="I155" s="84"/>
      <c r="J155" s="84"/>
      <c r="K155" s="84"/>
      <c r="L155" s="84"/>
      <c r="M155" s="31"/>
      <c r="O155" s="23"/>
    </row>
    <row r="156" spans="2:15">
      <c r="B156" s="3" t="s">
        <v>136</v>
      </c>
      <c r="C156" s="83"/>
      <c r="D156" s="83"/>
      <c r="E156" s="83"/>
      <c r="F156" s="83"/>
      <c r="G156" s="84"/>
      <c r="H156" s="84"/>
      <c r="I156" s="84"/>
      <c r="J156" s="84"/>
      <c r="K156" s="84"/>
      <c r="L156" s="84"/>
      <c r="M156" s="31"/>
      <c r="O156" s="23"/>
    </row>
    <row r="157" spans="2:15">
      <c r="B157" s="19" t="s">
        <v>94</v>
      </c>
      <c r="C157" s="139"/>
      <c r="D157" s="52"/>
      <c r="E157" s="52"/>
      <c r="F157" s="52"/>
      <c r="G157" s="41"/>
      <c r="H157" s="41"/>
      <c r="I157" s="41"/>
      <c r="J157" s="41"/>
      <c r="K157" s="41"/>
      <c r="L157" s="44"/>
      <c r="M157" s="153"/>
      <c r="N157" s="35"/>
      <c r="O157" s="27"/>
    </row>
    <row r="158" spans="2:15" s="9" customFormat="1">
      <c r="B158" s="38"/>
      <c r="C158" s="40"/>
      <c r="D158" s="40"/>
      <c r="E158" s="40"/>
      <c r="F158" s="40"/>
      <c r="G158" s="40"/>
      <c r="H158" s="40"/>
      <c r="I158" s="40"/>
      <c r="J158" s="40"/>
      <c r="K158" s="40"/>
      <c r="L158" s="22"/>
      <c r="M158" s="24"/>
      <c r="N158" s="24"/>
      <c r="O158" s="22"/>
    </row>
    <row r="159" spans="2:15" s="9" customFormat="1">
      <c r="B159" s="38"/>
      <c r="C159" s="51"/>
      <c r="D159" s="24"/>
      <c r="E159" s="24"/>
      <c r="F159" s="24"/>
      <c r="G159" s="51"/>
      <c r="H159" s="24"/>
      <c r="I159" s="24"/>
      <c r="J159" s="24"/>
      <c r="K159" s="24"/>
      <c r="L159" s="22"/>
      <c r="M159" s="24"/>
      <c r="N159" s="24"/>
      <c r="O159" s="22"/>
    </row>
    <row r="160" spans="2:15" s="9" customFormat="1">
      <c r="B160" s="38"/>
      <c r="C160" s="51"/>
      <c r="D160" s="24"/>
      <c r="E160" s="24"/>
      <c r="F160" s="24"/>
      <c r="G160" s="51"/>
      <c r="H160" s="24"/>
      <c r="I160" s="24"/>
      <c r="J160" s="24"/>
      <c r="K160" s="24"/>
      <c r="L160" s="22"/>
      <c r="M160" s="24"/>
      <c r="N160" s="24"/>
      <c r="O160" s="22"/>
    </row>
    <row r="162" spans="2:16">
      <c r="B162" s="10" t="s">
        <v>151</v>
      </c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56"/>
      <c r="N162" s="156"/>
      <c r="O162" s="37"/>
      <c r="P162" s="25"/>
    </row>
    <row r="163" spans="2:16">
      <c r="B163" s="12"/>
      <c r="C163" s="76"/>
      <c r="D163" s="13"/>
      <c r="E163" s="13"/>
      <c r="F163" s="13"/>
      <c r="G163" s="13"/>
      <c r="H163" s="13"/>
      <c r="I163" s="13"/>
      <c r="J163" s="13"/>
      <c r="K163" s="13"/>
      <c r="L163" s="13"/>
      <c r="O163" s="23"/>
      <c r="P163" s="25"/>
    </row>
    <row r="164" spans="2:16">
      <c r="B164" s="12"/>
      <c r="C164" s="25" t="s">
        <v>0</v>
      </c>
      <c r="D164" s="25" t="s">
        <v>1</v>
      </c>
      <c r="E164" s="25" t="s">
        <v>2</v>
      </c>
      <c r="F164" s="25" t="s">
        <v>3</v>
      </c>
      <c r="G164" s="25" t="s">
        <v>4</v>
      </c>
      <c r="H164" s="25" t="s">
        <v>5</v>
      </c>
      <c r="I164" s="25" t="s">
        <v>6</v>
      </c>
      <c r="J164" s="25" t="s">
        <v>7</v>
      </c>
      <c r="K164" s="25" t="s">
        <v>8</v>
      </c>
      <c r="L164" s="25">
        <v>2011</v>
      </c>
      <c r="M164" s="152">
        <v>2012</v>
      </c>
      <c r="N164" s="157"/>
      <c r="O164" s="96"/>
      <c r="P164" s="25"/>
    </row>
    <row r="165" spans="2:16">
      <c r="B165" s="17" t="s">
        <v>102</v>
      </c>
      <c r="C165" s="47"/>
      <c r="D165" s="47"/>
      <c r="E165" s="22"/>
      <c r="F165" s="22"/>
      <c r="G165" s="22"/>
      <c r="H165" s="22"/>
      <c r="I165" s="22"/>
      <c r="J165" s="22"/>
      <c r="K165" s="22"/>
      <c r="L165" s="22"/>
      <c r="M165" s="152"/>
      <c r="O165" s="55"/>
      <c r="P165" s="49"/>
    </row>
    <row r="166" spans="2:16">
      <c r="B166" s="12" t="s">
        <v>98</v>
      </c>
      <c r="C166" s="47"/>
      <c r="D166" s="47"/>
      <c r="E166" s="22"/>
      <c r="F166" s="22"/>
      <c r="G166" s="22"/>
      <c r="H166" s="22"/>
      <c r="I166" s="22"/>
      <c r="J166" s="22"/>
      <c r="K166" s="22"/>
      <c r="L166" s="22"/>
      <c r="M166" s="152"/>
      <c r="O166" s="55"/>
      <c r="P166" s="49"/>
    </row>
    <row r="167" spans="2:16">
      <c r="B167" s="12" t="s">
        <v>99</v>
      </c>
      <c r="C167" s="47"/>
      <c r="D167" s="47"/>
      <c r="E167" s="22"/>
      <c r="F167" s="22"/>
      <c r="G167" s="22"/>
      <c r="H167" s="22"/>
      <c r="I167" s="22"/>
      <c r="J167" s="22"/>
      <c r="K167" s="22"/>
      <c r="L167" s="22"/>
      <c r="M167" s="152"/>
      <c r="O167" s="55"/>
      <c r="P167" s="49"/>
    </row>
    <row r="168" spans="2:16">
      <c r="B168" s="12" t="s">
        <v>83</v>
      </c>
      <c r="C168" s="47"/>
      <c r="D168" s="47"/>
      <c r="E168" s="22"/>
      <c r="F168" s="22"/>
      <c r="G168" s="22"/>
      <c r="H168" s="22"/>
      <c r="I168" s="22"/>
      <c r="J168" s="22"/>
      <c r="K168" s="22"/>
      <c r="L168" s="22"/>
      <c r="M168" s="152"/>
      <c r="O168" s="55"/>
      <c r="P168" s="49"/>
    </row>
    <row r="169" spans="2:16">
      <c r="B169" s="12" t="s">
        <v>84</v>
      </c>
      <c r="C169" s="47"/>
      <c r="D169" s="47"/>
      <c r="E169" s="22"/>
      <c r="F169" s="22"/>
      <c r="G169" s="22"/>
      <c r="H169" s="22"/>
      <c r="I169" s="22"/>
      <c r="J169" s="22"/>
      <c r="K169" s="22"/>
      <c r="L169" s="22"/>
      <c r="M169" s="152"/>
      <c r="O169" s="55"/>
      <c r="P169" s="49"/>
    </row>
    <row r="170" spans="2:16">
      <c r="B170" s="12" t="s">
        <v>85</v>
      </c>
      <c r="C170" s="47"/>
      <c r="D170" s="47"/>
      <c r="E170" s="22"/>
      <c r="F170" s="22"/>
      <c r="G170" s="22"/>
      <c r="H170" s="22"/>
      <c r="I170" s="22"/>
      <c r="J170" s="22"/>
      <c r="K170" s="22"/>
      <c r="L170" s="22"/>
      <c r="M170" s="152"/>
      <c r="O170" s="55"/>
      <c r="P170" s="49"/>
    </row>
    <row r="171" spans="2:16">
      <c r="B171" s="12" t="s">
        <v>86</v>
      </c>
      <c r="C171" s="47"/>
      <c r="D171" s="47"/>
      <c r="E171" s="22"/>
      <c r="F171" s="22"/>
      <c r="G171" s="22"/>
      <c r="H171" s="22"/>
      <c r="I171" s="22"/>
      <c r="J171" s="22"/>
      <c r="K171" s="22"/>
      <c r="L171" s="22"/>
      <c r="M171" s="152"/>
      <c r="O171" s="55"/>
      <c r="P171" s="49"/>
    </row>
    <row r="172" spans="2:16">
      <c r="B172" s="12" t="s">
        <v>87</v>
      </c>
      <c r="C172" s="47"/>
      <c r="D172" s="47"/>
      <c r="E172" s="22"/>
      <c r="F172" s="22"/>
      <c r="G172" s="22"/>
      <c r="H172" s="22"/>
      <c r="I172" s="22"/>
      <c r="J172" s="22"/>
      <c r="K172" s="22"/>
      <c r="L172" s="22"/>
      <c r="M172" s="152"/>
      <c r="O172" s="55"/>
      <c r="P172" s="49"/>
    </row>
    <row r="173" spans="2:16">
      <c r="B173" s="12" t="s">
        <v>88</v>
      </c>
      <c r="C173" s="47"/>
      <c r="D173" s="47"/>
      <c r="E173" s="22"/>
      <c r="F173" s="22"/>
      <c r="G173" s="22"/>
      <c r="H173" s="22"/>
      <c r="I173" s="22"/>
      <c r="J173" s="22"/>
      <c r="K173" s="22"/>
      <c r="L173" s="22"/>
      <c r="M173" s="152"/>
      <c r="O173" s="55"/>
      <c r="P173" s="49"/>
    </row>
    <row r="174" spans="2:16">
      <c r="B174" s="12" t="s">
        <v>89</v>
      </c>
      <c r="C174" s="47"/>
      <c r="D174" s="47"/>
      <c r="E174" s="22"/>
      <c r="F174" s="22"/>
      <c r="G174" s="22"/>
      <c r="H174" s="22"/>
      <c r="I174" s="22"/>
      <c r="J174" s="22"/>
      <c r="K174" s="22"/>
      <c r="L174" s="22"/>
      <c r="M174" s="152"/>
      <c r="O174" s="55"/>
      <c r="P174" s="49"/>
    </row>
    <row r="175" spans="2:16">
      <c r="B175" s="12" t="s">
        <v>90</v>
      </c>
      <c r="C175" s="47"/>
      <c r="D175" s="47"/>
      <c r="E175" s="22"/>
      <c r="F175" s="22"/>
      <c r="G175" s="22"/>
      <c r="H175" s="22"/>
      <c r="I175" s="22"/>
      <c r="J175" s="22"/>
      <c r="K175" s="22"/>
      <c r="L175" s="22"/>
      <c r="M175" s="152"/>
      <c r="O175" s="55"/>
      <c r="P175" s="49"/>
    </row>
    <row r="176" spans="2:16">
      <c r="B176" s="12" t="s">
        <v>91</v>
      </c>
      <c r="C176" s="47"/>
      <c r="D176" s="47"/>
      <c r="E176" s="22"/>
      <c r="F176" s="22"/>
      <c r="G176" s="22"/>
      <c r="H176" s="22"/>
      <c r="I176" s="22"/>
      <c r="J176" s="22"/>
      <c r="K176" s="22"/>
      <c r="L176" s="22"/>
      <c r="M176" s="152"/>
      <c r="O176" s="55"/>
      <c r="P176" s="49"/>
    </row>
    <row r="177" spans="2:16">
      <c r="B177" s="12" t="s">
        <v>92</v>
      </c>
      <c r="C177" s="47"/>
      <c r="D177" s="47"/>
      <c r="E177" s="22"/>
      <c r="F177" s="22"/>
      <c r="G177" s="22"/>
      <c r="H177" s="22"/>
      <c r="I177" s="22"/>
      <c r="J177" s="22"/>
      <c r="K177" s="22"/>
      <c r="L177" s="22"/>
      <c r="M177" s="152"/>
      <c r="O177" s="55"/>
      <c r="P177" s="49"/>
    </row>
    <row r="178" spans="2:16">
      <c r="B178" s="12" t="s">
        <v>95</v>
      </c>
      <c r="C178" s="47"/>
      <c r="D178" s="47"/>
      <c r="E178" s="22"/>
      <c r="F178" s="22"/>
      <c r="G178" s="22"/>
      <c r="H178" s="22"/>
      <c r="I178" s="22"/>
      <c r="J178" s="22"/>
      <c r="K178" s="22"/>
      <c r="L178" s="22"/>
      <c r="M178" s="152"/>
      <c r="O178" s="55"/>
      <c r="P178" s="49"/>
    </row>
    <row r="179" spans="2:16">
      <c r="B179" s="12" t="s">
        <v>96</v>
      </c>
      <c r="C179" s="47"/>
      <c r="D179" s="47"/>
      <c r="E179" s="22"/>
      <c r="F179" s="22"/>
      <c r="G179" s="22"/>
      <c r="H179" s="22"/>
      <c r="I179" s="22"/>
      <c r="J179" s="22"/>
      <c r="K179" s="22"/>
      <c r="L179" s="22"/>
      <c r="M179" s="152"/>
      <c r="O179" s="55"/>
      <c r="P179" s="49"/>
    </row>
    <row r="180" spans="2:16">
      <c r="B180" s="12" t="s">
        <v>93</v>
      </c>
      <c r="C180" s="47"/>
      <c r="D180" s="47"/>
      <c r="E180" s="22"/>
      <c r="F180" s="22"/>
      <c r="G180" s="22"/>
      <c r="H180" s="22"/>
      <c r="I180" s="22"/>
      <c r="J180" s="22"/>
      <c r="K180" s="22"/>
      <c r="L180" s="22"/>
      <c r="M180" s="152"/>
      <c r="O180" s="55"/>
      <c r="P180" s="49"/>
    </row>
    <row r="181" spans="2:16">
      <c r="B181" s="12" t="s">
        <v>97</v>
      </c>
      <c r="C181" s="47"/>
      <c r="D181" s="47"/>
      <c r="E181" s="22"/>
      <c r="F181" s="22"/>
      <c r="G181" s="22"/>
      <c r="H181" s="22"/>
      <c r="I181" s="22"/>
      <c r="J181" s="22"/>
      <c r="K181" s="22"/>
      <c r="L181" s="22"/>
      <c r="M181" s="152"/>
      <c r="O181" s="55"/>
      <c r="P181" s="49"/>
    </row>
    <row r="182" spans="2:16">
      <c r="B182" s="3" t="s">
        <v>136</v>
      </c>
      <c r="C182" s="47"/>
      <c r="D182" s="47"/>
      <c r="E182" s="22"/>
      <c r="F182" s="22"/>
      <c r="G182" s="22"/>
      <c r="H182" s="22"/>
      <c r="I182" s="22"/>
      <c r="J182" s="22"/>
      <c r="K182" s="22"/>
      <c r="L182" s="22"/>
      <c r="M182" s="152"/>
      <c r="O182" s="55"/>
      <c r="P182" s="49"/>
    </row>
    <row r="183" spans="2:16">
      <c r="B183" s="14" t="s">
        <v>94</v>
      </c>
      <c r="C183" s="52"/>
      <c r="D183" s="52"/>
      <c r="E183" s="44"/>
      <c r="F183" s="44"/>
      <c r="G183" s="44"/>
      <c r="H183" s="44"/>
      <c r="I183" s="44"/>
      <c r="J183" s="44"/>
      <c r="K183" s="44"/>
      <c r="L183" s="44"/>
      <c r="M183" s="153"/>
      <c r="N183" s="35"/>
      <c r="O183" s="56"/>
      <c r="P183" s="49"/>
    </row>
    <row r="184" spans="2:16" s="9" customFormat="1">
      <c r="B184" s="4"/>
      <c r="C184" s="40"/>
      <c r="D184" s="40"/>
      <c r="E184" s="40"/>
      <c r="F184" s="40"/>
      <c r="G184" s="40"/>
      <c r="H184" s="40"/>
      <c r="I184" s="40"/>
      <c r="J184" s="40"/>
      <c r="K184" s="40"/>
      <c r="L184" s="22"/>
      <c r="M184" s="24"/>
      <c r="N184" s="24"/>
      <c r="O184" s="22"/>
    </row>
    <row r="185" spans="2:16">
      <c r="B185" s="38"/>
    </row>
    <row r="188" spans="2:16">
      <c r="B188" s="8" t="s">
        <v>152</v>
      </c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156"/>
      <c r="N188" s="156"/>
      <c r="O188" s="37"/>
    </row>
    <row r="189" spans="2:16">
      <c r="B189" s="3"/>
      <c r="O189" s="23"/>
    </row>
    <row r="190" spans="2:16">
      <c r="B190" s="3"/>
      <c r="C190" s="25" t="s">
        <v>0</v>
      </c>
      <c r="D190" s="25" t="s">
        <v>1</v>
      </c>
      <c r="E190" s="25" t="s">
        <v>2</v>
      </c>
      <c r="F190" s="25" t="s">
        <v>3</v>
      </c>
      <c r="G190" s="25" t="s">
        <v>4</v>
      </c>
      <c r="H190" s="25" t="s">
        <v>5</v>
      </c>
      <c r="I190" s="25" t="s">
        <v>6</v>
      </c>
      <c r="J190" s="25" t="s">
        <v>7</v>
      </c>
      <c r="K190" s="25" t="s">
        <v>8</v>
      </c>
      <c r="L190" s="25">
        <v>2011</v>
      </c>
      <c r="M190" s="33">
        <v>2012</v>
      </c>
      <c r="N190" s="157"/>
      <c r="O190" s="96"/>
    </row>
    <row r="191" spans="2:16">
      <c r="B191" s="17" t="s">
        <v>102</v>
      </c>
      <c r="C191" s="77"/>
      <c r="D191" s="77"/>
      <c r="E191" s="77"/>
      <c r="F191" s="77"/>
      <c r="G191" s="77"/>
      <c r="H191" s="77"/>
      <c r="I191" s="24"/>
      <c r="J191" s="24"/>
      <c r="K191" s="24"/>
      <c r="L191" s="24"/>
      <c r="M191" s="24"/>
      <c r="O191" s="23"/>
    </row>
    <row r="192" spans="2:16">
      <c r="B192" s="3" t="s">
        <v>98</v>
      </c>
      <c r="C192" s="77"/>
      <c r="D192" s="77"/>
      <c r="E192" s="77"/>
      <c r="F192" s="77"/>
      <c r="G192" s="77"/>
      <c r="H192" s="77"/>
      <c r="I192" s="24"/>
      <c r="J192" s="24"/>
      <c r="K192" s="24"/>
      <c r="L192" s="24"/>
      <c r="M192" s="24"/>
      <c r="O192" s="23"/>
    </row>
    <row r="193" spans="2:16">
      <c r="B193" s="3" t="s">
        <v>99</v>
      </c>
      <c r="C193" s="77"/>
      <c r="D193" s="77"/>
      <c r="E193" s="77"/>
      <c r="F193" s="77"/>
      <c r="G193" s="77"/>
      <c r="H193" s="77"/>
      <c r="I193" s="24"/>
      <c r="J193" s="24"/>
      <c r="K193" s="24"/>
      <c r="L193" s="24"/>
      <c r="M193" s="24"/>
      <c r="O193" s="43"/>
      <c r="P193" s="7"/>
    </row>
    <row r="194" spans="2:16">
      <c r="B194" s="3" t="s">
        <v>83</v>
      </c>
      <c r="C194" s="77"/>
      <c r="D194" s="77"/>
      <c r="E194" s="77"/>
      <c r="F194" s="77"/>
      <c r="G194" s="77"/>
      <c r="H194" s="77"/>
      <c r="I194" s="24"/>
      <c r="J194" s="24"/>
      <c r="K194" s="24"/>
      <c r="L194" s="24"/>
      <c r="M194" s="24"/>
      <c r="O194" s="43"/>
      <c r="P194" s="7"/>
    </row>
    <row r="195" spans="2:16">
      <c r="B195" s="3" t="s">
        <v>84</v>
      </c>
      <c r="C195" s="77"/>
      <c r="D195" s="77"/>
      <c r="E195" s="77"/>
      <c r="F195" s="77"/>
      <c r="G195" s="77"/>
      <c r="H195" s="77"/>
      <c r="I195" s="24"/>
      <c r="J195" s="24"/>
      <c r="K195" s="24"/>
      <c r="L195" s="24"/>
      <c r="M195" s="24"/>
      <c r="O195" s="43"/>
      <c r="P195" s="7"/>
    </row>
    <row r="196" spans="2:16">
      <c r="B196" s="3" t="s">
        <v>85</v>
      </c>
      <c r="C196" s="77"/>
      <c r="D196" s="77"/>
      <c r="E196" s="77"/>
      <c r="F196" s="77"/>
      <c r="G196" s="77"/>
      <c r="H196" s="77"/>
      <c r="I196" s="24"/>
      <c r="J196" s="24"/>
      <c r="K196" s="24"/>
      <c r="L196" s="24"/>
      <c r="M196" s="24"/>
      <c r="O196" s="43"/>
      <c r="P196" s="7"/>
    </row>
    <row r="197" spans="2:16">
      <c r="B197" s="3" t="s">
        <v>86</v>
      </c>
      <c r="C197" s="77"/>
      <c r="D197" s="77"/>
      <c r="E197" s="77"/>
      <c r="F197" s="77"/>
      <c r="G197" s="77"/>
      <c r="H197" s="77"/>
      <c r="I197" s="24"/>
      <c r="J197" s="24"/>
      <c r="K197" s="24"/>
      <c r="L197" s="24"/>
      <c r="M197" s="24"/>
      <c r="O197" s="43"/>
      <c r="P197" s="7"/>
    </row>
    <row r="198" spans="2:16">
      <c r="B198" s="3" t="s">
        <v>87</v>
      </c>
      <c r="C198" s="77"/>
      <c r="D198" s="77"/>
      <c r="E198" s="77"/>
      <c r="F198" s="77"/>
      <c r="G198" s="77"/>
      <c r="H198" s="77"/>
      <c r="I198" s="24"/>
      <c r="J198" s="24"/>
      <c r="K198" s="24"/>
      <c r="L198" s="24"/>
      <c r="M198" s="24"/>
      <c r="O198" s="43"/>
      <c r="P198" s="7"/>
    </row>
    <row r="199" spans="2:16">
      <c r="B199" s="3" t="s">
        <v>88</v>
      </c>
      <c r="C199" s="77"/>
      <c r="D199" s="77"/>
      <c r="E199" s="77"/>
      <c r="F199" s="77"/>
      <c r="G199" s="77"/>
      <c r="H199" s="77"/>
      <c r="I199" s="24"/>
      <c r="J199" s="24"/>
      <c r="K199" s="24"/>
      <c r="L199" s="24"/>
      <c r="M199" s="24"/>
      <c r="O199" s="43"/>
      <c r="P199" s="7"/>
    </row>
    <row r="200" spans="2:16">
      <c r="B200" s="3" t="s">
        <v>89</v>
      </c>
      <c r="C200" s="77"/>
      <c r="D200" s="77"/>
      <c r="E200" s="77"/>
      <c r="F200" s="77"/>
      <c r="G200" s="77"/>
      <c r="H200" s="77"/>
      <c r="I200" s="24"/>
      <c r="J200" s="24"/>
      <c r="K200" s="24"/>
      <c r="L200" s="24"/>
      <c r="M200" s="24"/>
      <c r="O200" s="43"/>
      <c r="P200" s="7"/>
    </row>
    <row r="201" spans="2:16">
      <c r="B201" s="3" t="s">
        <v>90</v>
      </c>
      <c r="C201" s="77"/>
      <c r="D201" s="77"/>
      <c r="E201" s="77"/>
      <c r="F201" s="77"/>
      <c r="G201" s="77"/>
      <c r="H201" s="77"/>
      <c r="I201" s="24"/>
      <c r="J201" s="24"/>
      <c r="K201" s="24"/>
      <c r="L201" s="24"/>
      <c r="M201" s="24"/>
      <c r="O201" s="43"/>
      <c r="P201" s="7"/>
    </row>
    <row r="202" spans="2:16">
      <c r="B202" s="3" t="s">
        <v>91</v>
      </c>
      <c r="C202" s="77"/>
      <c r="D202" s="77"/>
      <c r="E202" s="77"/>
      <c r="F202" s="77"/>
      <c r="G202" s="77"/>
      <c r="H202" s="77"/>
      <c r="I202" s="24"/>
      <c r="J202" s="24"/>
      <c r="K202" s="24"/>
      <c r="L202" s="24"/>
      <c r="M202" s="24"/>
      <c r="O202" s="43"/>
      <c r="P202" s="7"/>
    </row>
    <row r="203" spans="2:16">
      <c r="B203" s="3" t="s">
        <v>92</v>
      </c>
      <c r="C203" s="77"/>
      <c r="D203" s="77"/>
      <c r="E203" s="77"/>
      <c r="F203" s="77"/>
      <c r="G203" s="77"/>
      <c r="H203" s="77"/>
      <c r="I203" s="24"/>
      <c r="J203" s="24"/>
      <c r="K203" s="24"/>
      <c r="L203" s="24"/>
      <c r="M203" s="24"/>
      <c r="O203" s="43"/>
      <c r="P203" s="7"/>
    </row>
    <row r="204" spans="2:16">
      <c r="B204" s="3" t="s">
        <v>95</v>
      </c>
      <c r="C204" s="77"/>
      <c r="D204" s="77"/>
      <c r="E204" s="77"/>
      <c r="F204" s="77"/>
      <c r="G204" s="77"/>
      <c r="H204" s="77"/>
      <c r="I204" s="24"/>
      <c r="J204" s="24"/>
      <c r="K204" s="24"/>
      <c r="L204" s="24"/>
      <c r="M204" s="24"/>
      <c r="O204" s="43"/>
      <c r="P204" s="7"/>
    </row>
    <row r="205" spans="2:16">
      <c r="B205" s="3" t="s">
        <v>96</v>
      </c>
      <c r="C205" s="77"/>
      <c r="D205" s="77"/>
      <c r="E205" s="77"/>
      <c r="F205" s="77"/>
      <c r="G205" s="77"/>
      <c r="H205" s="77"/>
      <c r="I205" s="24"/>
      <c r="J205" s="24"/>
      <c r="K205" s="24"/>
      <c r="L205" s="24"/>
      <c r="M205" s="24"/>
      <c r="O205" s="43"/>
      <c r="P205" s="7"/>
    </row>
    <row r="206" spans="2:16">
      <c r="B206" s="3" t="s">
        <v>93</v>
      </c>
      <c r="C206" s="77"/>
      <c r="D206" s="77"/>
      <c r="E206" s="77"/>
      <c r="F206" s="77"/>
      <c r="G206" s="77"/>
      <c r="H206" s="77"/>
      <c r="I206" s="24"/>
      <c r="J206" s="24"/>
      <c r="K206" s="24"/>
      <c r="L206" s="24"/>
      <c r="M206" s="24"/>
      <c r="O206" s="43"/>
      <c r="P206" s="7"/>
    </row>
    <row r="207" spans="2:16">
      <c r="B207" s="3" t="s">
        <v>97</v>
      </c>
      <c r="C207" s="77"/>
      <c r="D207" s="77"/>
      <c r="E207" s="77"/>
      <c r="F207" s="77"/>
      <c r="G207" s="77"/>
      <c r="H207" s="77"/>
      <c r="I207" s="24"/>
      <c r="J207" s="24"/>
      <c r="K207" s="24"/>
      <c r="L207" s="24"/>
      <c r="M207" s="24"/>
      <c r="O207" s="43"/>
      <c r="P207" s="7"/>
    </row>
    <row r="208" spans="2:16">
      <c r="B208" s="5" t="s">
        <v>136</v>
      </c>
      <c r="C208" s="79"/>
      <c r="D208" s="79"/>
      <c r="E208" s="79"/>
      <c r="F208" s="79"/>
      <c r="G208" s="79"/>
      <c r="H208" s="79"/>
      <c r="I208" s="41"/>
      <c r="J208" s="41"/>
      <c r="K208" s="41"/>
      <c r="L208" s="41"/>
      <c r="M208" s="41"/>
      <c r="N208" s="35"/>
      <c r="O208" s="57"/>
      <c r="P208" s="7"/>
    </row>
    <row r="211" spans="2:16">
      <c r="B211" s="8" t="s">
        <v>153</v>
      </c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156"/>
      <c r="N211" s="156"/>
      <c r="O211" s="37"/>
    </row>
    <row r="212" spans="2:16">
      <c r="B212" s="3"/>
      <c r="I212" s="72" t="s">
        <v>124</v>
      </c>
      <c r="J212" s="72" t="s">
        <v>121</v>
      </c>
      <c r="K212" s="72" t="s">
        <v>121</v>
      </c>
      <c r="L212" s="72" t="s">
        <v>123</v>
      </c>
      <c r="O212" s="23"/>
    </row>
    <row r="213" spans="2:16">
      <c r="B213" s="3"/>
      <c r="C213" s="25" t="s">
        <v>0</v>
      </c>
      <c r="D213" s="25" t="s">
        <v>1</v>
      </c>
      <c r="E213" s="25" t="s">
        <v>2</v>
      </c>
      <c r="F213" s="25" t="s">
        <v>3</v>
      </c>
      <c r="G213" s="25" t="s">
        <v>4</v>
      </c>
      <c r="H213" s="25" t="s">
        <v>5</v>
      </c>
      <c r="I213" s="25" t="s">
        <v>6</v>
      </c>
      <c r="J213" s="25" t="s">
        <v>7</v>
      </c>
      <c r="K213" s="25" t="s">
        <v>8</v>
      </c>
      <c r="L213" s="25">
        <v>2011</v>
      </c>
      <c r="M213" s="152">
        <v>2012</v>
      </c>
      <c r="N213" s="157"/>
      <c r="O213" s="96"/>
      <c r="P213" s="131" t="s">
        <v>101</v>
      </c>
    </row>
    <row r="214" spans="2:16">
      <c r="B214" s="17" t="s">
        <v>102</v>
      </c>
      <c r="C214" s="29"/>
      <c r="D214" s="29"/>
      <c r="E214" s="29"/>
      <c r="F214" s="29"/>
      <c r="G214" s="29"/>
      <c r="H214" s="29"/>
      <c r="I214" s="50"/>
      <c r="J214" s="50"/>
      <c r="K214" s="50"/>
      <c r="L214" s="24"/>
      <c r="M214" s="152"/>
      <c r="O214" s="43"/>
      <c r="P214" s="132"/>
    </row>
    <row r="215" spans="2:16">
      <c r="B215" s="3" t="s">
        <v>98</v>
      </c>
      <c r="C215" s="29"/>
      <c r="D215" s="29"/>
      <c r="E215" s="29"/>
      <c r="F215" s="29"/>
      <c r="G215" s="29"/>
      <c r="H215" s="29"/>
      <c r="I215" s="50"/>
      <c r="J215" s="50"/>
      <c r="K215" s="50"/>
      <c r="L215" s="24"/>
      <c r="M215" s="152"/>
      <c r="O215" s="23"/>
      <c r="P215" s="133"/>
    </row>
    <row r="216" spans="2:16">
      <c r="B216" s="3" t="s">
        <v>99</v>
      </c>
      <c r="C216" s="29"/>
      <c r="D216" s="29"/>
      <c r="E216" s="29"/>
      <c r="F216" s="29"/>
      <c r="G216" s="29"/>
      <c r="H216" s="29"/>
      <c r="I216" s="24"/>
      <c r="J216" s="50"/>
      <c r="K216" s="50"/>
      <c r="L216" s="24"/>
      <c r="M216" s="152"/>
      <c r="O216" s="23"/>
      <c r="P216" s="132"/>
    </row>
    <row r="217" spans="2:16">
      <c r="B217" s="3" t="s">
        <v>83</v>
      </c>
      <c r="C217" s="29"/>
      <c r="D217" s="29"/>
      <c r="E217" s="29"/>
      <c r="F217" s="29"/>
      <c r="G217" s="29"/>
      <c r="H217" s="29"/>
      <c r="I217" s="24"/>
      <c r="J217" s="50"/>
      <c r="K217" s="50"/>
      <c r="L217" s="24"/>
      <c r="M217" s="152"/>
      <c r="O217" s="43"/>
      <c r="P217" s="134"/>
    </row>
    <row r="218" spans="2:16">
      <c r="B218" s="3" t="s">
        <v>84</v>
      </c>
      <c r="C218" s="29"/>
      <c r="D218" s="29"/>
      <c r="E218" s="29"/>
      <c r="F218" s="29"/>
      <c r="G218" s="29"/>
      <c r="H218" s="29"/>
      <c r="I218" s="24"/>
      <c r="J218" s="24"/>
      <c r="K218" s="24"/>
      <c r="L218" s="24"/>
      <c r="M218" s="152"/>
      <c r="O218" s="43"/>
      <c r="P218" s="33"/>
    </row>
    <row r="219" spans="2:16">
      <c r="B219" s="3" t="s">
        <v>85</v>
      </c>
      <c r="C219" s="29"/>
      <c r="D219" s="29"/>
      <c r="E219" s="29"/>
      <c r="F219" s="29"/>
      <c r="G219" s="29"/>
      <c r="H219" s="29"/>
      <c r="I219" s="24"/>
      <c r="J219" s="24"/>
      <c r="K219" s="24"/>
      <c r="L219" s="24"/>
      <c r="M219" s="152"/>
      <c r="O219" s="43"/>
      <c r="P219" s="33"/>
    </row>
    <row r="220" spans="2:16">
      <c r="B220" s="3" t="s">
        <v>86</v>
      </c>
      <c r="C220" s="29"/>
      <c r="D220" s="29"/>
      <c r="E220" s="29"/>
      <c r="F220" s="29"/>
      <c r="G220" s="29"/>
      <c r="H220" s="29"/>
      <c r="I220" s="24"/>
      <c r="J220" s="24"/>
      <c r="K220" s="24"/>
      <c r="L220" s="24"/>
      <c r="M220" s="152"/>
      <c r="O220" s="43"/>
      <c r="P220" s="33"/>
    </row>
    <row r="221" spans="2:16">
      <c r="B221" s="3" t="s">
        <v>87</v>
      </c>
      <c r="C221" s="29"/>
      <c r="D221" s="29"/>
      <c r="E221" s="29"/>
      <c r="F221" s="29"/>
      <c r="G221" s="29"/>
      <c r="H221" s="29"/>
      <c r="I221" s="24"/>
      <c r="J221" s="24"/>
      <c r="K221" s="24"/>
      <c r="L221" s="24"/>
      <c r="M221" s="152"/>
      <c r="O221" s="43"/>
      <c r="P221" s="33"/>
    </row>
    <row r="222" spans="2:16">
      <c r="B222" s="3" t="s">
        <v>88</v>
      </c>
      <c r="C222" s="29"/>
      <c r="D222" s="29"/>
      <c r="E222" s="29"/>
      <c r="F222" s="29"/>
      <c r="G222" s="29"/>
      <c r="H222" s="29"/>
      <c r="I222" s="24"/>
      <c r="J222" s="24"/>
      <c r="K222" s="24"/>
      <c r="L222" s="24"/>
      <c r="M222" s="152"/>
      <c r="O222" s="43"/>
      <c r="P222" s="33"/>
    </row>
    <row r="223" spans="2:16">
      <c r="B223" s="3" t="s">
        <v>89</v>
      </c>
      <c r="C223" s="29"/>
      <c r="D223" s="29"/>
      <c r="E223" s="29"/>
      <c r="F223" s="29"/>
      <c r="G223" s="29"/>
      <c r="H223" s="29"/>
      <c r="I223" s="24"/>
      <c r="J223" s="24"/>
      <c r="K223" s="24"/>
      <c r="L223" s="24"/>
      <c r="M223" s="152"/>
      <c r="O223" s="43"/>
      <c r="P223" s="33"/>
    </row>
    <row r="224" spans="2:16">
      <c r="B224" s="3" t="s">
        <v>90</v>
      </c>
      <c r="C224" s="29"/>
      <c r="D224" s="29"/>
      <c r="E224" s="29"/>
      <c r="F224" s="29"/>
      <c r="G224" s="29"/>
      <c r="H224" s="29"/>
      <c r="I224" s="24"/>
      <c r="J224" s="24"/>
      <c r="K224" s="24"/>
      <c r="L224" s="24"/>
      <c r="M224" s="152"/>
      <c r="O224" s="43"/>
      <c r="P224" s="33"/>
    </row>
    <row r="225" spans="2:16">
      <c r="B225" s="3" t="s">
        <v>91</v>
      </c>
      <c r="C225" s="29"/>
      <c r="D225" s="29"/>
      <c r="E225" s="29"/>
      <c r="F225" s="29"/>
      <c r="G225" s="29"/>
      <c r="H225" s="29"/>
      <c r="I225" s="24"/>
      <c r="J225" s="24"/>
      <c r="K225" s="24"/>
      <c r="L225" s="24"/>
      <c r="M225" s="152"/>
      <c r="O225" s="43"/>
      <c r="P225" s="33"/>
    </row>
    <row r="226" spans="2:16">
      <c r="B226" s="3" t="s">
        <v>92</v>
      </c>
      <c r="C226" s="29"/>
      <c r="D226" s="29"/>
      <c r="E226" s="29"/>
      <c r="F226" s="29"/>
      <c r="G226" s="29"/>
      <c r="H226" s="29"/>
      <c r="I226" s="24"/>
      <c r="J226" s="24"/>
      <c r="K226" s="24"/>
      <c r="L226" s="24"/>
      <c r="M226" s="152"/>
      <c r="O226" s="43"/>
      <c r="P226" s="33"/>
    </row>
    <row r="227" spans="2:16">
      <c r="B227" s="3" t="s">
        <v>95</v>
      </c>
      <c r="C227" s="29"/>
      <c r="D227" s="29"/>
      <c r="E227" s="29"/>
      <c r="F227" s="29"/>
      <c r="G227" s="29"/>
      <c r="H227" s="29"/>
      <c r="I227" s="24"/>
      <c r="J227" s="24"/>
      <c r="K227" s="24"/>
      <c r="L227" s="24"/>
      <c r="M227" s="152"/>
      <c r="O227" s="43"/>
      <c r="P227" s="33"/>
    </row>
    <row r="228" spans="2:16">
      <c r="B228" s="3" t="s">
        <v>96</v>
      </c>
      <c r="C228" s="29"/>
      <c r="D228" s="29"/>
      <c r="E228" s="29"/>
      <c r="F228" s="29"/>
      <c r="G228" s="29"/>
      <c r="H228" s="29"/>
      <c r="I228" s="24"/>
      <c r="J228" s="24"/>
      <c r="K228" s="24"/>
      <c r="L228" s="24"/>
      <c r="M228" s="152"/>
      <c r="O228" s="43"/>
      <c r="P228" s="33"/>
    </row>
    <row r="229" spans="2:16">
      <c r="B229" s="3" t="s">
        <v>93</v>
      </c>
      <c r="C229" s="29"/>
      <c r="D229" s="29"/>
      <c r="E229" s="29"/>
      <c r="F229" s="29"/>
      <c r="G229" s="29"/>
      <c r="H229" s="29"/>
      <c r="I229" s="24"/>
      <c r="J229" s="24"/>
      <c r="K229" s="24"/>
      <c r="L229" s="24"/>
      <c r="M229" s="152"/>
      <c r="O229" s="43"/>
      <c r="P229" s="33"/>
    </row>
    <row r="230" spans="2:16">
      <c r="B230" s="3" t="s">
        <v>97</v>
      </c>
      <c r="C230" s="29"/>
      <c r="D230" s="29"/>
      <c r="E230" s="29"/>
      <c r="F230" s="29"/>
      <c r="G230" s="29"/>
      <c r="H230" s="29"/>
      <c r="I230" s="24"/>
      <c r="J230" s="24"/>
      <c r="K230" s="24"/>
      <c r="L230" s="24"/>
      <c r="M230" s="152"/>
      <c r="O230" s="43"/>
      <c r="P230" s="33"/>
    </row>
    <row r="231" spans="2:16">
      <c r="B231" s="5" t="s">
        <v>136</v>
      </c>
      <c r="C231" s="34"/>
      <c r="D231" s="34"/>
      <c r="E231" s="34"/>
      <c r="F231" s="34"/>
      <c r="G231" s="34"/>
      <c r="H231" s="34"/>
      <c r="I231" s="41"/>
      <c r="J231" s="41"/>
      <c r="K231" s="41"/>
      <c r="L231" s="41"/>
      <c r="M231" s="153"/>
      <c r="N231" s="35"/>
      <c r="O231" s="57"/>
      <c r="P231" s="33"/>
    </row>
    <row r="232" spans="2:16">
      <c r="C232" s="7"/>
      <c r="D232" s="7"/>
      <c r="E232" s="7"/>
      <c r="F232" s="7"/>
      <c r="G232" s="7"/>
      <c r="H232" s="7"/>
      <c r="I232" s="7"/>
      <c r="J232" s="7"/>
      <c r="K232" s="7"/>
    </row>
    <row r="233" spans="2:16">
      <c r="C233" s="7"/>
      <c r="D233" s="7"/>
      <c r="E233" s="7"/>
      <c r="F233" s="7"/>
      <c r="G233" s="7"/>
      <c r="H233" s="7"/>
      <c r="I233" s="7"/>
      <c r="J233" s="7"/>
      <c r="K233" s="7"/>
    </row>
    <row r="234" spans="2:16">
      <c r="C234" s="7"/>
      <c r="D234" s="7"/>
      <c r="E234" s="7"/>
      <c r="F234" s="7"/>
      <c r="G234" s="7"/>
      <c r="H234" s="7"/>
      <c r="I234" s="7"/>
      <c r="J234" s="7"/>
      <c r="K234" s="7"/>
    </row>
    <row r="235" spans="2:16">
      <c r="B235" s="65"/>
      <c r="D235" s="65"/>
    </row>
    <row r="237" spans="2:16">
      <c r="B237" s="8" t="s">
        <v>154</v>
      </c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156"/>
      <c r="N237" s="156"/>
      <c r="O237" s="37"/>
    </row>
    <row r="238" spans="2:16">
      <c r="B238" s="3"/>
      <c r="I238" s="72" t="s">
        <v>122</v>
      </c>
      <c r="J238" s="72" t="s">
        <v>121</v>
      </c>
      <c r="K238" s="72" t="s">
        <v>121</v>
      </c>
      <c r="L238" s="72" t="s">
        <v>121</v>
      </c>
      <c r="O238" s="23"/>
    </row>
    <row r="239" spans="2:16">
      <c r="B239" s="3"/>
      <c r="C239" s="25" t="s">
        <v>0</v>
      </c>
      <c r="D239" s="25" t="s">
        <v>1</v>
      </c>
      <c r="E239" s="25" t="s">
        <v>2</v>
      </c>
      <c r="F239" s="25" t="s">
        <v>3</v>
      </c>
      <c r="G239" s="25" t="s">
        <v>4</v>
      </c>
      <c r="H239" s="25" t="s">
        <v>5</v>
      </c>
      <c r="I239" s="25" t="s">
        <v>6</v>
      </c>
      <c r="J239" s="25" t="s">
        <v>7</v>
      </c>
      <c r="K239" s="25" t="s">
        <v>8</v>
      </c>
      <c r="L239" s="25">
        <v>2011</v>
      </c>
      <c r="M239" s="152">
        <v>2012</v>
      </c>
      <c r="N239" s="157"/>
      <c r="O239" s="96"/>
      <c r="P239" s="128" t="s">
        <v>101</v>
      </c>
    </row>
    <row r="240" spans="2:16">
      <c r="B240" s="17" t="s">
        <v>102</v>
      </c>
      <c r="C240" s="29"/>
      <c r="D240" s="29"/>
      <c r="E240" s="29"/>
      <c r="F240" s="29"/>
      <c r="G240" s="29"/>
      <c r="H240" s="29"/>
      <c r="I240" s="50"/>
      <c r="J240" s="50"/>
      <c r="K240" s="50"/>
      <c r="L240" s="24"/>
      <c r="M240" s="152"/>
      <c r="O240" s="23"/>
      <c r="P240" s="129"/>
    </row>
    <row r="241" spans="2:16">
      <c r="B241" s="3" t="s">
        <v>98</v>
      </c>
      <c r="C241" s="29"/>
      <c r="D241" s="29"/>
      <c r="E241" s="29"/>
      <c r="F241" s="29"/>
      <c r="G241" s="29"/>
      <c r="H241" s="29"/>
      <c r="I241" s="50"/>
      <c r="J241" s="50"/>
      <c r="K241" s="50"/>
      <c r="L241" s="24"/>
      <c r="M241" s="152"/>
      <c r="O241" s="23"/>
      <c r="P241" s="60"/>
    </row>
    <row r="242" spans="2:16">
      <c r="B242" s="3" t="s">
        <v>99</v>
      </c>
      <c r="C242" s="29"/>
      <c r="D242" s="29"/>
      <c r="E242" s="29"/>
      <c r="F242" s="29"/>
      <c r="G242" s="29"/>
      <c r="H242" s="29"/>
      <c r="I242" s="24"/>
      <c r="J242" s="50"/>
      <c r="K242" s="50"/>
      <c r="L242" s="24"/>
      <c r="M242" s="152"/>
      <c r="O242" s="23"/>
      <c r="P242" s="129"/>
    </row>
    <row r="243" spans="2:16">
      <c r="B243" s="3" t="s">
        <v>83</v>
      </c>
      <c r="C243" s="29"/>
      <c r="D243" s="29"/>
      <c r="E243" s="29"/>
      <c r="F243" s="29"/>
      <c r="G243" s="29"/>
      <c r="H243" s="29"/>
      <c r="I243" s="24"/>
      <c r="J243" s="50"/>
      <c r="K243" s="50"/>
      <c r="L243" s="24"/>
      <c r="M243" s="152"/>
      <c r="O243" s="23"/>
      <c r="P243" s="130"/>
    </row>
    <row r="244" spans="2:16">
      <c r="B244" s="3" t="s">
        <v>84</v>
      </c>
      <c r="C244" s="29"/>
      <c r="D244" s="29"/>
      <c r="E244" s="29"/>
      <c r="F244" s="29"/>
      <c r="G244" s="29"/>
      <c r="H244" s="29"/>
      <c r="I244" s="25"/>
      <c r="J244" s="25"/>
      <c r="K244" s="25"/>
      <c r="L244" s="25"/>
      <c r="M244" s="152"/>
      <c r="O244" s="55"/>
      <c r="P244" s="33"/>
    </row>
    <row r="245" spans="2:16">
      <c r="B245" s="3" t="s">
        <v>85</v>
      </c>
      <c r="C245" s="29"/>
      <c r="D245" s="29"/>
      <c r="E245" s="29"/>
      <c r="F245" s="29"/>
      <c r="G245" s="29"/>
      <c r="H245" s="29"/>
      <c r="I245" s="25"/>
      <c r="J245" s="25"/>
      <c r="K245" s="25"/>
      <c r="L245" s="25"/>
      <c r="M245" s="152"/>
      <c r="O245" s="55"/>
      <c r="P245" s="33"/>
    </row>
    <row r="246" spans="2:16">
      <c r="B246" s="3" t="s">
        <v>86</v>
      </c>
      <c r="C246" s="29"/>
      <c r="D246" s="29"/>
      <c r="E246" s="29"/>
      <c r="F246" s="29"/>
      <c r="G246" s="29"/>
      <c r="H246" s="29"/>
      <c r="I246" s="25"/>
      <c r="J246" s="25"/>
      <c r="K246" s="25"/>
      <c r="L246" s="25"/>
      <c r="M246" s="152"/>
      <c r="O246" s="55"/>
      <c r="P246" s="33"/>
    </row>
    <row r="247" spans="2:16">
      <c r="B247" s="3" t="s">
        <v>87</v>
      </c>
      <c r="C247" s="29"/>
      <c r="D247" s="29"/>
      <c r="E247" s="29"/>
      <c r="F247" s="29"/>
      <c r="G247" s="29"/>
      <c r="H247" s="29"/>
      <c r="I247" s="25"/>
      <c r="J247" s="25"/>
      <c r="K247" s="25"/>
      <c r="L247" s="25"/>
      <c r="M247" s="152"/>
      <c r="O247" s="55"/>
      <c r="P247" s="33"/>
    </row>
    <row r="248" spans="2:16">
      <c r="B248" s="3" t="s">
        <v>88</v>
      </c>
      <c r="C248" s="29"/>
      <c r="D248" s="29"/>
      <c r="E248" s="29"/>
      <c r="F248" s="29"/>
      <c r="G248" s="29"/>
      <c r="H248" s="29"/>
      <c r="I248" s="25"/>
      <c r="J248" s="25"/>
      <c r="K248" s="25"/>
      <c r="L248" s="25"/>
      <c r="M248" s="152"/>
      <c r="O248" s="55"/>
      <c r="P248" s="33"/>
    </row>
    <row r="249" spans="2:16">
      <c r="B249" s="3" t="s">
        <v>89</v>
      </c>
      <c r="C249" s="29"/>
      <c r="D249" s="29"/>
      <c r="E249" s="29"/>
      <c r="F249" s="29"/>
      <c r="G249" s="29"/>
      <c r="H249" s="29"/>
      <c r="I249" s="25"/>
      <c r="J249" s="25"/>
      <c r="K249" s="25"/>
      <c r="L249" s="25"/>
      <c r="M249" s="152"/>
      <c r="O249" s="55"/>
      <c r="P249" s="33"/>
    </row>
    <row r="250" spans="2:16">
      <c r="B250" s="3" t="s">
        <v>90</v>
      </c>
      <c r="C250" s="29"/>
      <c r="D250" s="29"/>
      <c r="E250" s="29"/>
      <c r="F250" s="29"/>
      <c r="G250" s="29"/>
      <c r="H250" s="29"/>
      <c r="I250" s="25"/>
      <c r="J250" s="25"/>
      <c r="K250" s="25"/>
      <c r="L250" s="25"/>
      <c r="M250" s="152"/>
      <c r="O250" s="55"/>
      <c r="P250" s="33"/>
    </row>
    <row r="251" spans="2:16">
      <c r="B251" s="3" t="s">
        <v>91</v>
      </c>
      <c r="C251" s="29"/>
      <c r="D251" s="29"/>
      <c r="E251" s="29"/>
      <c r="F251" s="29"/>
      <c r="G251" s="29"/>
      <c r="H251" s="29"/>
      <c r="I251" s="25"/>
      <c r="J251" s="25"/>
      <c r="K251" s="25"/>
      <c r="L251" s="25"/>
      <c r="M251" s="152"/>
      <c r="O251" s="55"/>
      <c r="P251" s="33"/>
    </row>
    <row r="252" spans="2:16">
      <c r="B252" s="3" t="s">
        <v>92</v>
      </c>
      <c r="C252" s="29"/>
      <c r="D252" s="29"/>
      <c r="E252" s="29"/>
      <c r="F252" s="29"/>
      <c r="G252" s="29"/>
      <c r="H252" s="29"/>
      <c r="I252" s="25"/>
      <c r="J252" s="25"/>
      <c r="K252" s="25"/>
      <c r="L252" s="25"/>
      <c r="M252" s="152"/>
      <c r="O252" s="55"/>
      <c r="P252" s="33"/>
    </row>
    <row r="253" spans="2:16">
      <c r="B253" s="3" t="s">
        <v>95</v>
      </c>
      <c r="C253" s="29"/>
      <c r="D253" s="29"/>
      <c r="E253" s="29"/>
      <c r="F253" s="29"/>
      <c r="G253" s="29"/>
      <c r="H253" s="29"/>
      <c r="I253" s="33"/>
      <c r="J253" s="49"/>
      <c r="K253" s="49"/>
      <c r="L253" s="49"/>
      <c r="M253" s="152"/>
      <c r="O253" s="55"/>
      <c r="P253" s="33"/>
    </row>
    <row r="254" spans="2:16">
      <c r="B254" s="3" t="s">
        <v>96</v>
      </c>
      <c r="C254" s="29"/>
      <c r="D254" s="29"/>
      <c r="E254" s="29"/>
      <c r="F254" s="29"/>
      <c r="G254" s="29"/>
      <c r="H254" s="29"/>
      <c r="I254" s="24"/>
      <c r="J254" s="47"/>
      <c r="K254" s="47"/>
      <c r="L254" s="47"/>
      <c r="M254" s="152"/>
      <c r="N254" s="24"/>
      <c r="O254" s="140"/>
      <c r="P254" s="33"/>
    </row>
    <row r="255" spans="2:16">
      <c r="B255" s="3" t="s">
        <v>93</v>
      </c>
      <c r="C255" s="29"/>
      <c r="D255" s="29"/>
      <c r="E255" s="29"/>
      <c r="F255" s="29"/>
      <c r="G255" s="29"/>
      <c r="H255" s="29"/>
      <c r="I255" s="24"/>
      <c r="J255" s="24"/>
      <c r="K255" s="24"/>
      <c r="L255" s="47"/>
      <c r="M255" s="152"/>
      <c r="N255" s="24"/>
      <c r="O255" s="140"/>
      <c r="P255" s="33"/>
    </row>
    <row r="256" spans="2:16">
      <c r="B256" s="3" t="s">
        <v>97</v>
      </c>
      <c r="C256" s="29"/>
      <c r="D256" s="29"/>
      <c r="E256" s="29"/>
      <c r="F256" s="29"/>
      <c r="G256" s="29"/>
      <c r="H256" s="29"/>
      <c r="I256" s="24"/>
      <c r="J256" s="24"/>
      <c r="K256" s="24"/>
      <c r="L256" s="47"/>
      <c r="M256" s="152"/>
      <c r="N256" s="24"/>
      <c r="O256" s="140"/>
      <c r="P256" s="33"/>
    </row>
    <row r="257" spans="2:16">
      <c r="B257" s="5" t="s">
        <v>136</v>
      </c>
      <c r="C257" s="34"/>
      <c r="D257" s="34"/>
      <c r="E257" s="34"/>
      <c r="F257" s="34"/>
      <c r="G257" s="34"/>
      <c r="H257" s="34"/>
      <c r="I257" s="41"/>
      <c r="J257" s="41"/>
      <c r="K257" s="41"/>
      <c r="L257" s="52"/>
      <c r="M257" s="153"/>
      <c r="N257" s="41"/>
      <c r="O257" s="141"/>
      <c r="P257" s="33"/>
    </row>
    <row r="261" spans="2:16">
      <c r="B261" s="65"/>
      <c r="D261" s="65"/>
    </row>
    <row r="262" spans="2:16">
      <c r="B262" s="8" t="s">
        <v>155</v>
      </c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156"/>
      <c r="N262" s="156"/>
      <c r="O262" s="37"/>
    </row>
    <row r="263" spans="2:16">
      <c r="B263" s="3"/>
      <c r="I263" s="72"/>
      <c r="J263" s="72"/>
      <c r="K263" s="72"/>
      <c r="L263" s="63"/>
      <c r="O263" s="23"/>
    </row>
    <row r="264" spans="2:16">
      <c r="B264" s="3"/>
      <c r="C264" s="25" t="s">
        <v>0</v>
      </c>
      <c r="D264" s="25" t="s">
        <v>1</v>
      </c>
      <c r="E264" s="25" t="s">
        <v>2</v>
      </c>
      <c r="F264" s="25" t="s">
        <v>3</v>
      </c>
      <c r="G264" s="25" t="s">
        <v>4</v>
      </c>
      <c r="H264" s="25" t="s">
        <v>5</v>
      </c>
      <c r="I264" s="25" t="s">
        <v>6</v>
      </c>
      <c r="J264" s="25" t="s">
        <v>7</v>
      </c>
      <c r="K264" s="25" t="s">
        <v>8</v>
      </c>
      <c r="L264" s="25">
        <v>2011</v>
      </c>
      <c r="M264" s="152">
        <v>2012</v>
      </c>
      <c r="N264" s="157"/>
      <c r="O264" s="96"/>
      <c r="P264" s="25"/>
    </row>
    <row r="265" spans="2:16">
      <c r="B265" s="17" t="s">
        <v>102</v>
      </c>
      <c r="C265" s="28"/>
      <c r="D265" s="28"/>
      <c r="E265" s="28"/>
      <c r="F265" s="28"/>
      <c r="G265" s="28"/>
      <c r="H265" s="28"/>
      <c r="I265" s="30"/>
      <c r="J265" s="30"/>
      <c r="K265" s="30"/>
      <c r="L265" s="22"/>
      <c r="M265" s="152"/>
      <c r="O265" s="23"/>
      <c r="P265" s="25"/>
    </row>
    <row r="266" spans="2:16">
      <c r="B266" s="3" t="s">
        <v>98</v>
      </c>
      <c r="C266" s="53"/>
      <c r="D266" s="53"/>
      <c r="E266" s="53"/>
      <c r="F266" s="53"/>
      <c r="G266" s="28"/>
      <c r="H266" s="28"/>
      <c r="I266" s="22"/>
      <c r="J266" s="22"/>
      <c r="K266" s="22"/>
      <c r="L266" s="22"/>
      <c r="M266" s="152"/>
      <c r="O266" s="23"/>
      <c r="P266" s="25"/>
    </row>
    <row r="267" spans="2:16">
      <c r="B267" s="3" t="s">
        <v>99</v>
      </c>
      <c r="C267" s="53"/>
      <c r="D267" s="53"/>
      <c r="E267" s="53"/>
      <c r="F267" s="53"/>
      <c r="G267" s="28"/>
      <c r="H267" s="28"/>
      <c r="I267" s="22"/>
      <c r="J267" s="22"/>
      <c r="K267" s="22"/>
      <c r="L267" s="24"/>
      <c r="M267" s="152"/>
      <c r="O267" s="23"/>
      <c r="P267" s="25"/>
    </row>
    <row r="268" spans="2:16">
      <c r="B268" s="3" t="s">
        <v>83</v>
      </c>
      <c r="C268" s="53"/>
      <c r="D268" s="53"/>
      <c r="E268" s="53"/>
      <c r="F268" s="53"/>
      <c r="G268" s="28"/>
      <c r="H268" s="28"/>
      <c r="I268" s="22"/>
      <c r="J268" s="22"/>
      <c r="K268" s="22"/>
      <c r="L268" s="22"/>
      <c r="M268" s="152"/>
      <c r="O268" s="23"/>
      <c r="P268" s="25"/>
    </row>
    <row r="269" spans="2:16">
      <c r="B269" s="3" t="s">
        <v>84</v>
      </c>
      <c r="C269" s="53"/>
      <c r="D269" s="53"/>
      <c r="E269" s="53"/>
      <c r="F269" s="53"/>
      <c r="G269" s="28"/>
      <c r="H269" s="28"/>
      <c r="I269" s="22"/>
      <c r="J269" s="22"/>
      <c r="K269" s="22"/>
      <c r="L269" s="22"/>
      <c r="M269" s="152"/>
      <c r="O269" s="23"/>
      <c r="P269" s="25"/>
    </row>
    <row r="270" spans="2:16">
      <c r="B270" s="3" t="s">
        <v>85</v>
      </c>
      <c r="C270" s="53"/>
      <c r="D270" s="53"/>
      <c r="E270" s="53"/>
      <c r="F270" s="53"/>
      <c r="G270" s="28"/>
      <c r="H270" s="28"/>
      <c r="I270" s="22"/>
      <c r="J270" s="22"/>
      <c r="K270" s="22"/>
      <c r="L270" s="22"/>
      <c r="M270" s="152"/>
      <c r="O270" s="23"/>
      <c r="P270" s="25"/>
    </row>
    <row r="271" spans="2:16">
      <c r="B271" s="3" t="s">
        <v>86</v>
      </c>
      <c r="C271" s="53"/>
      <c r="D271" s="53"/>
      <c r="E271" s="53"/>
      <c r="F271" s="53"/>
      <c r="G271" s="28"/>
      <c r="H271" s="28"/>
      <c r="I271" s="22"/>
      <c r="J271" s="22"/>
      <c r="K271" s="22"/>
      <c r="L271" s="22"/>
      <c r="M271" s="152"/>
      <c r="O271" s="23"/>
      <c r="P271" s="25"/>
    </row>
    <row r="272" spans="2:16">
      <c r="B272" s="3" t="s">
        <v>87</v>
      </c>
      <c r="C272" s="53"/>
      <c r="D272" s="53"/>
      <c r="E272" s="53"/>
      <c r="F272" s="53"/>
      <c r="G272" s="28"/>
      <c r="H272" s="28"/>
      <c r="I272" s="22"/>
      <c r="J272" s="22"/>
      <c r="K272" s="22"/>
      <c r="L272" s="22"/>
      <c r="M272" s="152"/>
      <c r="O272" s="23"/>
      <c r="P272" s="25"/>
    </row>
    <row r="273" spans="2:16">
      <c r="B273" s="3" t="s">
        <v>88</v>
      </c>
      <c r="C273" s="53"/>
      <c r="D273" s="53"/>
      <c r="E273" s="53"/>
      <c r="F273" s="53"/>
      <c r="G273" s="28"/>
      <c r="H273" s="28"/>
      <c r="I273" s="22"/>
      <c r="J273" s="22"/>
      <c r="K273" s="22"/>
      <c r="L273" s="22"/>
      <c r="M273" s="152"/>
      <c r="O273" s="23"/>
      <c r="P273" s="25"/>
    </row>
    <row r="274" spans="2:16">
      <c r="B274" s="3" t="s">
        <v>89</v>
      </c>
      <c r="C274" s="53"/>
      <c r="D274" s="53"/>
      <c r="E274" s="53"/>
      <c r="F274" s="53"/>
      <c r="G274" s="28"/>
      <c r="H274" s="28"/>
      <c r="I274" s="22"/>
      <c r="J274" s="22"/>
      <c r="K274" s="22"/>
      <c r="L274" s="22"/>
      <c r="M274" s="152"/>
      <c r="O274" s="23"/>
      <c r="P274" s="25"/>
    </row>
    <row r="275" spans="2:16">
      <c r="B275" s="3" t="s">
        <v>90</v>
      </c>
      <c r="C275" s="53"/>
      <c r="D275" s="53"/>
      <c r="E275" s="53"/>
      <c r="F275" s="53"/>
      <c r="G275" s="28"/>
      <c r="H275" s="28"/>
      <c r="I275" s="22"/>
      <c r="J275" s="22"/>
      <c r="K275" s="22"/>
      <c r="L275" s="22"/>
      <c r="M275" s="152"/>
      <c r="O275" s="23"/>
      <c r="P275" s="25"/>
    </row>
    <row r="276" spans="2:16">
      <c r="B276" s="3" t="s">
        <v>91</v>
      </c>
      <c r="C276" s="53"/>
      <c r="D276" s="53"/>
      <c r="E276" s="53"/>
      <c r="F276" s="53"/>
      <c r="G276" s="28"/>
      <c r="H276" s="28"/>
      <c r="I276" s="22"/>
      <c r="J276" s="22"/>
      <c r="K276" s="22"/>
      <c r="L276" s="22"/>
      <c r="M276" s="152"/>
      <c r="O276" s="23"/>
      <c r="P276" s="25"/>
    </row>
    <row r="277" spans="2:16">
      <c r="B277" s="3" t="s">
        <v>92</v>
      </c>
      <c r="C277" s="53"/>
      <c r="D277" s="53"/>
      <c r="E277" s="53"/>
      <c r="F277" s="53"/>
      <c r="G277" s="28"/>
      <c r="H277" s="28"/>
      <c r="I277" s="22"/>
      <c r="J277" s="22"/>
      <c r="K277" s="22"/>
      <c r="L277" s="22"/>
      <c r="M277" s="152"/>
      <c r="O277" s="23"/>
      <c r="P277" s="25"/>
    </row>
    <row r="278" spans="2:16">
      <c r="B278" s="3" t="s">
        <v>95</v>
      </c>
      <c r="C278" s="53"/>
      <c r="D278" s="53"/>
      <c r="E278" s="53"/>
      <c r="F278" s="53"/>
      <c r="G278" s="53"/>
      <c r="H278" s="53"/>
      <c r="I278" s="47"/>
      <c r="J278" s="47"/>
      <c r="K278" s="47"/>
      <c r="L278" s="47"/>
      <c r="M278" s="152"/>
      <c r="N278" s="24"/>
      <c r="O278" s="133"/>
      <c r="P278" s="25"/>
    </row>
    <row r="279" spans="2:16">
      <c r="B279" s="3" t="s">
        <v>96</v>
      </c>
      <c r="C279" s="53"/>
      <c r="D279" s="53"/>
      <c r="E279" s="53"/>
      <c r="F279" s="53"/>
      <c r="G279" s="53"/>
      <c r="H279" s="53"/>
      <c r="I279" s="47"/>
      <c r="J279" s="47"/>
      <c r="K279" s="47"/>
      <c r="L279" s="47"/>
      <c r="M279" s="152"/>
      <c r="N279" s="24"/>
      <c r="O279" s="133"/>
      <c r="P279" s="25"/>
    </row>
    <row r="280" spans="2:16">
      <c r="B280" s="3" t="s">
        <v>93</v>
      </c>
      <c r="C280" s="53"/>
      <c r="D280" s="53"/>
      <c r="E280" s="53"/>
      <c r="F280" s="53"/>
      <c r="G280" s="53"/>
      <c r="H280" s="53"/>
      <c r="I280" s="47"/>
      <c r="J280" s="47"/>
      <c r="K280" s="47"/>
      <c r="L280" s="47"/>
      <c r="M280" s="152"/>
      <c r="N280" s="24"/>
      <c r="O280" s="133"/>
      <c r="P280" s="25"/>
    </row>
    <row r="281" spans="2:16">
      <c r="B281" s="3" t="s">
        <v>97</v>
      </c>
      <c r="C281" s="53"/>
      <c r="D281" s="53"/>
      <c r="E281" s="53"/>
      <c r="F281" s="53"/>
      <c r="G281" s="53"/>
      <c r="H281" s="53"/>
      <c r="I281" s="47"/>
      <c r="J281" s="47"/>
      <c r="K281" s="47"/>
      <c r="L281" s="47"/>
      <c r="M281" s="152"/>
      <c r="N281" s="24"/>
      <c r="O281" s="133"/>
      <c r="P281" s="25"/>
    </row>
    <row r="282" spans="2:16">
      <c r="B282" s="5" t="s">
        <v>136</v>
      </c>
      <c r="C282" s="54"/>
      <c r="D282" s="54"/>
      <c r="E282" s="54"/>
      <c r="F282" s="54"/>
      <c r="G282" s="54"/>
      <c r="H282" s="54"/>
      <c r="I282" s="52"/>
      <c r="J282" s="52"/>
      <c r="K282" s="52"/>
      <c r="L282" s="52"/>
      <c r="M282" s="153"/>
      <c r="N282" s="41"/>
      <c r="O282" s="142"/>
      <c r="P282" s="25"/>
    </row>
    <row r="283" spans="2:16" s="9" customFormat="1">
      <c r="B283" s="81"/>
      <c r="C283" s="47"/>
      <c r="D283" s="65"/>
      <c r="E283" s="47"/>
      <c r="F283" s="47"/>
      <c r="G283" s="47"/>
      <c r="H283" s="47"/>
      <c r="J283" s="47"/>
      <c r="K283" s="47"/>
      <c r="M283" s="24"/>
      <c r="N283" s="24"/>
      <c r="O283" s="22"/>
      <c r="P283" s="22"/>
    </row>
    <row r="286" spans="2:16">
      <c r="B286" s="8" t="s">
        <v>156</v>
      </c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158"/>
      <c r="N286" s="158"/>
      <c r="O286" s="6" t="s">
        <v>100</v>
      </c>
      <c r="P286" s="37">
        <f>SUM(D289:P306)</f>
        <v>0</v>
      </c>
    </row>
    <row r="287" spans="2:16">
      <c r="B287" s="3"/>
      <c r="M287" s="7"/>
      <c r="P287" s="23"/>
    </row>
    <row r="288" spans="2:16">
      <c r="B288" s="3"/>
      <c r="D288" s="25">
        <v>2002</v>
      </c>
      <c r="E288" s="25">
        <v>2003</v>
      </c>
      <c r="F288" s="25">
        <v>2004</v>
      </c>
      <c r="G288" s="25">
        <v>2005</v>
      </c>
      <c r="H288" s="25">
        <v>2006</v>
      </c>
      <c r="I288" s="25">
        <v>2007</v>
      </c>
      <c r="J288" s="25">
        <v>2008</v>
      </c>
      <c r="K288" s="25">
        <v>2009</v>
      </c>
      <c r="L288" s="25">
        <v>2010</v>
      </c>
      <c r="M288" s="33">
        <v>2011</v>
      </c>
      <c r="N288" s="33">
        <v>2012</v>
      </c>
      <c r="O288" s="95"/>
      <c r="P288" s="96"/>
    </row>
    <row r="289" spans="2:16">
      <c r="B289" s="17" t="s">
        <v>102</v>
      </c>
      <c r="D289" s="25"/>
      <c r="E289" s="25"/>
      <c r="F289" s="25"/>
      <c r="G289" s="25"/>
      <c r="H289" s="25"/>
      <c r="I289" s="25"/>
      <c r="J289" s="25"/>
      <c r="K289" s="25"/>
      <c r="L289" s="25"/>
      <c r="P289" s="23"/>
    </row>
    <row r="290" spans="2:16">
      <c r="B290" s="3" t="s">
        <v>98</v>
      </c>
      <c r="D290" s="25"/>
      <c r="E290" s="25"/>
      <c r="F290" s="25"/>
      <c r="G290" s="25"/>
      <c r="H290" s="25"/>
      <c r="I290" s="25"/>
      <c r="J290" s="25"/>
      <c r="K290" s="25"/>
      <c r="L290" s="25"/>
      <c r="P290" s="23"/>
    </row>
    <row r="291" spans="2:16">
      <c r="B291" s="3" t="s">
        <v>99</v>
      </c>
      <c r="D291" s="25"/>
      <c r="E291" s="25"/>
      <c r="F291" s="25"/>
      <c r="G291" s="25"/>
      <c r="H291" s="25"/>
      <c r="I291" s="25"/>
      <c r="J291" s="25"/>
      <c r="K291" s="25"/>
      <c r="L291" s="25"/>
      <c r="P291" s="23"/>
    </row>
    <row r="292" spans="2:16">
      <c r="B292" s="3" t="s">
        <v>83</v>
      </c>
      <c r="D292" s="25"/>
      <c r="E292" s="25"/>
      <c r="F292" s="25"/>
      <c r="G292" s="25"/>
      <c r="H292" s="25"/>
      <c r="I292" s="25"/>
      <c r="J292" s="25"/>
      <c r="K292" s="25"/>
      <c r="L292" s="25"/>
      <c r="P292" s="23"/>
    </row>
    <row r="293" spans="2:16">
      <c r="B293" s="3" t="s">
        <v>84</v>
      </c>
      <c r="D293" s="25"/>
      <c r="E293" s="25"/>
      <c r="F293" s="25"/>
      <c r="G293" s="25"/>
      <c r="H293" s="25"/>
      <c r="I293" s="25"/>
      <c r="J293" s="25"/>
      <c r="K293" s="25"/>
      <c r="L293" s="22"/>
      <c r="P293" s="23"/>
    </row>
    <row r="294" spans="2:16">
      <c r="B294" s="3" t="s">
        <v>85</v>
      </c>
      <c r="D294" s="25"/>
      <c r="E294" s="25"/>
      <c r="F294" s="25"/>
      <c r="G294" s="25"/>
      <c r="H294" s="25"/>
      <c r="I294" s="25"/>
      <c r="J294" s="25"/>
      <c r="K294" s="25"/>
      <c r="L294" s="25"/>
      <c r="P294" s="23"/>
    </row>
    <row r="295" spans="2:16">
      <c r="B295" s="3" t="s">
        <v>86</v>
      </c>
      <c r="D295" s="25"/>
      <c r="E295" s="25"/>
      <c r="F295" s="25"/>
      <c r="G295" s="25"/>
      <c r="H295" s="25"/>
      <c r="I295" s="25"/>
      <c r="J295" s="25"/>
      <c r="K295" s="25"/>
      <c r="L295" s="25"/>
      <c r="P295" s="23"/>
    </row>
    <row r="296" spans="2:16">
      <c r="B296" s="3" t="s">
        <v>87</v>
      </c>
      <c r="D296" s="25"/>
      <c r="E296" s="25"/>
      <c r="F296" s="25"/>
      <c r="G296" s="25"/>
      <c r="H296" s="25"/>
      <c r="I296" s="25"/>
      <c r="J296" s="25"/>
      <c r="K296" s="25"/>
      <c r="L296" s="25"/>
      <c r="P296" s="23"/>
    </row>
    <row r="297" spans="2:16">
      <c r="B297" s="3" t="s">
        <v>88</v>
      </c>
      <c r="D297" s="25"/>
      <c r="E297" s="25"/>
      <c r="F297" s="25"/>
      <c r="G297" s="25"/>
      <c r="H297" s="25"/>
      <c r="I297" s="25"/>
      <c r="J297" s="25"/>
      <c r="K297" s="25"/>
      <c r="L297" s="25"/>
      <c r="P297" s="23"/>
    </row>
    <row r="298" spans="2:16">
      <c r="B298" s="3" t="s">
        <v>89</v>
      </c>
      <c r="D298" s="25"/>
      <c r="E298" s="25"/>
      <c r="F298" s="25"/>
      <c r="G298" s="25"/>
      <c r="H298" s="25"/>
      <c r="I298" s="25"/>
      <c r="J298" s="25"/>
      <c r="K298" s="25"/>
      <c r="L298" s="25"/>
      <c r="P298" s="23"/>
    </row>
    <row r="299" spans="2:16">
      <c r="B299" s="3" t="s">
        <v>90</v>
      </c>
      <c r="D299" s="25"/>
      <c r="E299" s="25"/>
      <c r="F299" s="25"/>
      <c r="G299" s="25"/>
      <c r="H299" s="25"/>
      <c r="I299" s="25"/>
      <c r="J299" s="25"/>
      <c r="K299" s="25"/>
      <c r="L299" s="25"/>
      <c r="P299" s="23"/>
    </row>
    <row r="300" spans="2:16">
      <c r="B300" s="3" t="s">
        <v>91</v>
      </c>
      <c r="D300" s="25"/>
      <c r="E300" s="25"/>
      <c r="F300" s="25"/>
      <c r="G300" s="25"/>
      <c r="H300" s="25"/>
      <c r="I300" s="25"/>
      <c r="J300" s="25"/>
      <c r="K300" s="25"/>
      <c r="L300" s="25"/>
      <c r="P300" s="23"/>
    </row>
    <row r="301" spans="2:16">
      <c r="B301" s="3" t="s">
        <v>92</v>
      </c>
      <c r="D301" s="25"/>
      <c r="E301" s="25"/>
      <c r="F301" s="25"/>
      <c r="G301" s="25"/>
      <c r="H301" s="25"/>
      <c r="I301" s="25"/>
      <c r="J301" s="25"/>
      <c r="K301" s="25"/>
      <c r="L301" s="25"/>
      <c r="P301" s="23"/>
    </row>
    <row r="302" spans="2:16">
      <c r="B302" s="3" t="s">
        <v>95</v>
      </c>
      <c r="D302" s="25"/>
      <c r="E302" s="25"/>
      <c r="F302" s="25"/>
      <c r="G302" s="25"/>
      <c r="H302" s="25"/>
      <c r="I302" s="25"/>
      <c r="J302" s="25"/>
      <c r="K302" s="25"/>
      <c r="L302" s="22"/>
      <c r="P302" s="23"/>
    </row>
    <row r="303" spans="2:16">
      <c r="B303" s="3" t="s">
        <v>96</v>
      </c>
      <c r="D303" s="25"/>
      <c r="E303" s="25"/>
      <c r="F303" s="25"/>
      <c r="G303" s="25"/>
      <c r="H303" s="25"/>
      <c r="I303" s="25"/>
      <c r="J303" s="25"/>
      <c r="K303" s="25"/>
      <c r="L303" s="25"/>
      <c r="P303" s="23"/>
    </row>
    <row r="304" spans="2:16">
      <c r="B304" s="3" t="s">
        <v>93</v>
      </c>
      <c r="D304" s="25"/>
      <c r="E304" s="25"/>
      <c r="F304" s="25"/>
      <c r="G304" s="25"/>
      <c r="H304" s="25"/>
      <c r="I304" s="25"/>
      <c r="J304" s="25"/>
      <c r="K304" s="25"/>
      <c r="L304" s="25"/>
      <c r="P304" s="23"/>
    </row>
    <row r="305" spans="1:16">
      <c r="B305" s="3" t="s">
        <v>97</v>
      </c>
      <c r="D305" s="25"/>
      <c r="E305" s="25"/>
      <c r="F305" s="25"/>
      <c r="G305" s="25"/>
      <c r="H305" s="25"/>
      <c r="I305" s="25"/>
      <c r="J305" s="25"/>
      <c r="K305" s="25"/>
      <c r="L305" s="25"/>
      <c r="P305" s="23"/>
    </row>
    <row r="306" spans="1:16">
      <c r="B306" s="5" t="s">
        <v>136</v>
      </c>
      <c r="C306" s="45"/>
      <c r="D306" s="36"/>
      <c r="E306" s="36"/>
      <c r="F306" s="36"/>
      <c r="G306" s="36"/>
      <c r="H306" s="36"/>
      <c r="I306" s="36"/>
      <c r="J306" s="36"/>
      <c r="K306" s="36"/>
      <c r="L306" s="36"/>
      <c r="M306" s="35"/>
      <c r="N306" s="35"/>
      <c r="O306" s="36"/>
      <c r="P306" s="27"/>
    </row>
    <row r="307" spans="1:16">
      <c r="B307" s="21"/>
      <c r="K307" s="25"/>
    </row>
    <row r="308" spans="1:16">
      <c r="B308" s="2" t="s">
        <v>158</v>
      </c>
      <c r="C308" s="6"/>
      <c r="D308" s="32">
        <v>2002</v>
      </c>
      <c r="E308" s="32">
        <v>2003</v>
      </c>
      <c r="F308" s="32">
        <v>2004</v>
      </c>
      <c r="G308" s="32">
        <v>2005</v>
      </c>
      <c r="H308" s="32">
        <v>2006</v>
      </c>
      <c r="I308" s="32">
        <v>2007</v>
      </c>
      <c r="J308" s="32">
        <v>2008</v>
      </c>
      <c r="K308" s="32">
        <v>2009</v>
      </c>
      <c r="L308" s="32">
        <v>2010</v>
      </c>
      <c r="M308" s="156">
        <v>2011</v>
      </c>
      <c r="N308" s="159">
        <v>2012</v>
      </c>
      <c r="O308" s="97"/>
      <c r="P308" s="98"/>
    </row>
    <row r="309" spans="1:16">
      <c r="A309" s="100"/>
      <c r="B309" s="85" t="s">
        <v>157</v>
      </c>
      <c r="C309" s="100" t="s">
        <v>102</v>
      </c>
      <c r="D309" s="80"/>
      <c r="E309" s="80"/>
      <c r="F309" s="80"/>
      <c r="G309" s="80"/>
      <c r="H309" s="80"/>
      <c r="I309" s="80"/>
      <c r="J309" s="80"/>
      <c r="K309" s="80"/>
      <c r="L309" s="80"/>
      <c r="M309" s="160"/>
      <c r="N309" s="160"/>
      <c r="O309" s="82"/>
      <c r="P309" s="86"/>
    </row>
    <row r="310" spans="1:16">
      <c r="A310" s="100"/>
      <c r="B310" s="85"/>
      <c r="C310" s="100" t="s">
        <v>98</v>
      </c>
      <c r="D310" s="80"/>
      <c r="E310" s="80"/>
      <c r="F310" s="80"/>
      <c r="G310" s="80"/>
      <c r="H310" s="80"/>
      <c r="I310" s="80"/>
      <c r="J310" s="80"/>
      <c r="K310" s="80"/>
      <c r="L310" s="80"/>
      <c r="M310" s="160"/>
      <c r="N310" s="160"/>
      <c r="O310" s="82"/>
      <c r="P310" s="86"/>
    </row>
    <row r="311" spans="1:16">
      <c r="A311" s="100"/>
      <c r="B311" s="85"/>
      <c r="C311" s="100" t="s">
        <v>99</v>
      </c>
      <c r="D311" s="80"/>
      <c r="E311" s="80"/>
      <c r="F311" s="80"/>
      <c r="G311" s="80"/>
      <c r="H311" s="80"/>
      <c r="I311" s="80"/>
      <c r="J311" s="80"/>
      <c r="K311" s="80"/>
      <c r="L311" s="80"/>
      <c r="M311" s="160"/>
      <c r="N311" s="160"/>
      <c r="O311" s="82"/>
      <c r="P311" s="86"/>
    </row>
    <row r="312" spans="1:16">
      <c r="A312" s="100"/>
      <c r="B312" s="85"/>
      <c r="C312" s="100" t="s">
        <v>83</v>
      </c>
      <c r="D312" s="80"/>
      <c r="E312" s="80"/>
      <c r="F312" s="80"/>
      <c r="G312" s="80"/>
      <c r="H312" s="80"/>
      <c r="I312" s="80"/>
      <c r="J312" s="80"/>
      <c r="K312" s="80"/>
      <c r="L312" s="80"/>
      <c r="M312" s="160"/>
      <c r="N312" s="160"/>
      <c r="O312" s="82"/>
      <c r="P312" s="86"/>
    </row>
    <row r="313" spans="1:16">
      <c r="A313" s="100"/>
      <c r="B313" s="85"/>
      <c r="C313" s="100" t="s">
        <v>84</v>
      </c>
      <c r="D313" s="80"/>
      <c r="E313" s="80"/>
      <c r="F313" s="80"/>
      <c r="G313" s="80"/>
      <c r="H313" s="80"/>
      <c r="I313" s="80"/>
      <c r="J313" s="80"/>
      <c r="K313" s="80"/>
      <c r="L313" s="80"/>
      <c r="M313" s="160"/>
      <c r="N313" s="160"/>
      <c r="O313" s="82"/>
      <c r="P313" s="86"/>
    </row>
    <row r="314" spans="1:16">
      <c r="A314" s="100"/>
      <c r="B314" s="85"/>
      <c r="C314" s="100" t="s">
        <v>85</v>
      </c>
      <c r="D314" s="80"/>
      <c r="E314" s="80"/>
      <c r="F314" s="80"/>
      <c r="G314" s="80"/>
      <c r="H314" s="80"/>
      <c r="I314" s="80"/>
      <c r="J314" s="80"/>
      <c r="K314" s="80"/>
      <c r="L314" s="80"/>
      <c r="M314" s="160"/>
      <c r="N314" s="160"/>
      <c r="O314" s="82"/>
      <c r="P314" s="86"/>
    </row>
    <row r="315" spans="1:16">
      <c r="A315" s="100"/>
      <c r="B315" s="85"/>
      <c r="C315" s="100" t="s">
        <v>86</v>
      </c>
      <c r="D315" s="80"/>
      <c r="E315" s="80"/>
      <c r="F315" s="80"/>
      <c r="G315" s="80"/>
      <c r="H315" s="80"/>
      <c r="I315" s="80"/>
      <c r="J315" s="80"/>
      <c r="K315" s="80"/>
      <c r="L315" s="80"/>
      <c r="M315" s="160"/>
      <c r="N315" s="160"/>
      <c r="O315" s="82"/>
      <c r="P315" s="86"/>
    </row>
    <row r="316" spans="1:16">
      <c r="A316" s="100"/>
      <c r="B316" s="85"/>
      <c r="C316" s="100" t="s">
        <v>87</v>
      </c>
      <c r="D316" s="80"/>
      <c r="E316" s="80"/>
      <c r="F316" s="80"/>
      <c r="G316" s="80"/>
      <c r="H316" s="80"/>
      <c r="I316" s="80"/>
      <c r="J316" s="80"/>
      <c r="K316" s="80"/>
      <c r="L316" s="80"/>
      <c r="M316" s="160"/>
      <c r="N316" s="160"/>
      <c r="O316" s="82"/>
      <c r="P316" s="86"/>
    </row>
    <row r="317" spans="1:16">
      <c r="A317" s="100"/>
      <c r="B317" s="85"/>
      <c r="C317" s="100" t="s">
        <v>88</v>
      </c>
      <c r="D317" s="80"/>
      <c r="E317" s="80"/>
      <c r="F317" s="80"/>
      <c r="G317" s="80"/>
      <c r="H317" s="80"/>
      <c r="I317" s="80"/>
      <c r="J317" s="80"/>
      <c r="K317" s="80"/>
      <c r="L317" s="80"/>
      <c r="M317" s="160"/>
      <c r="N317" s="160"/>
      <c r="O317" s="82"/>
      <c r="P317" s="86"/>
    </row>
    <row r="318" spans="1:16">
      <c r="A318" s="100"/>
      <c r="B318" s="85"/>
      <c r="C318" s="100" t="s">
        <v>89</v>
      </c>
      <c r="D318" s="80"/>
      <c r="E318" s="80"/>
      <c r="F318" s="80"/>
      <c r="G318" s="80"/>
      <c r="H318" s="80"/>
      <c r="I318" s="80"/>
      <c r="J318" s="80"/>
      <c r="K318" s="80"/>
      <c r="L318" s="80"/>
      <c r="M318" s="160"/>
      <c r="N318" s="160"/>
      <c r="O318" s="82"/>
      <c r="P318" s="86"/>
    </row>
    <row r="319" spans="1:16">
      <c r="A319" s="100"/>
      <c r="B319" s="85"/>
      <c r="C319" s="100" t="s">
        <v>90</v>
      </c>
      <c r="D319" s="80"/>
      <c r="E319" s="80"/>
      <c r="F319" s="80"/>
      <c r="G319" s="80"/>
      <c r="H319" s="80"/>
      <c r="I319" s="80"/>
      <c r="J319" s="80"/>
      <c r="K319" s="80"/>
      <c r="L319" s="80"/>
      <c r="M319" s="160"/>
      <c r="N319" s="160"/>
      <c r="O319" s="82"/>
      <c r="P319" s="86"/>
    </row>
    <row r="320" spans="1:16">
      <c r="A320" s="100"/>
      <c r="B320" s="85"/>
      <c r="C320" s="100" t="s">
        <v>91</v>
      </c>
      <c r="D320" s="80"/>
      <c r="E320" s="80"/>
      <c r="F320" s="80"/>
      <c r="G320" s="80"/>
      <c r="H320" s="80"/>
      <c r="I320" s="80"/>
      <c r="J320" s="80"/>
      <c r="K320" s="80"/>
      <c r="L320" s="80"/>
      <c r="M320" s="160"/>
      <c r="N320" s="160"/>
      <c r="O320" s="82"/>
      <c r="P320" s="86"/>
    </row>
    <row r="321" spans="1:16">
      <c r="A321" s="100"/>
      <c r="B321" s="85"/>
      <c r="C321" s="100" t="s">
        <v>92</v>
      </c>
      <c r="D321" s="80"/>
      <c r="E321" s="80"/>
      <c r="F321" s="80"/>
      <c r="G321" s="80"/>
      <c r="H321" s="80"/>
      <c r="I321" s="80"/>
      <c r="J321" s="80"/>
      <c r="K321" s="80"/>
      <c r="L321" s="80"/>
      <c r="M321" s="160"/>
      <c r="N321" s="160"/>
      <c r="O321" s="82"/>
      <c r="P321" s="86"/>
    </row>
    <row r="322" spans="1:16">
      <c r="A322" s="100"/>
      <c r="B322" s="85"/>
      <c r="C322" s="100" t="s">
        <v>95</v>
      </c>
      <c r="D322" s="80"/>
      <c r="E322" s="80"/>
      <c r="F322" s="80"/>
      <c r="G322" s="80"/>
      <c r="H322" s="80"/>
      <c r="I322" s="80"/>
      <c r="J322" s="80"/>
      <c r="K322" s="80"/>
      <c r="L322" s="80"/>
      <c r="M322" s="160"/>
      <c r="N322" s="160"/>
      <c r="O322" s="82"/>
      <c r="P322" s="86"/>
    </row>
    <row r="323" spans="1:16">
      <c r="A323" s="100"/>
      <c r="B323" s="85"/>
      <c r="C323" s="100" t="s">
        <v>96</v>
      </c>
      <c r="D323" s="80"/>
      <c r="E323" s="80"/>
      <c r="F323" s="80"/>
      <c r="G323" s="80"/>
      <c r="H323" s="80"/>
      <c r="I323" s="80"/>
      <c r="J323" s="80"/>
      <c r="K323" s="80"/>
      <c r="L323" s="80"/>
      <c r="M323" s="160"/>
      <c r="N323" s="160"/>
      <c r="O323" s="82"/>
      <c r="P323" s="86"/>
    </row>
    <row r="324" spans="1:16">
      <c r="A324" s="100"/>
      <c r="B324" s="85"/>
      <c r="C324" s="100" t="s">
        <v>93</v>
      </c>
      <c r="D324" s="80"/>
      <c r="E324" s="80"/>
      <c r="F324" s="80"/>
      <c r="G324" s="80"/>
      <c r="H324" s="80"/>
      <c r="I324" s="80"/>
      <c r="J324" s="80"/>
      <c r="K324" s="80"/>
      <c r="L324" s="80"/>
      <c r="M324" s="160"/>
      <c r="N324" s="160"/>
      <c r="O324" s="82"/>
      <c r="P324" s="86"/>
    </row>
    <row r="325" spans="1:16">
      <c r="A325" s="100"/>
      <c r="B325" s="85"/>
      <c r="C325" s="100" t="s">
        <v>97</v>
      </c>
      <c r="D325" s="80"/>
      <c r="E325" s="80"/>
      <c r="F325" s="80"/>
      <c r="G325" s="80"/>
      <c r="H325" s="80"/>
      <c r="I325" s="80"/>
      <c r="J325" s="80"/>
      <c r="K325" s="80"/>
      <c r="L325" s="80"/>
      <c r="M325" s="160"/>
      <c r="N325" s="160"/>
      <c r="O325" s="82"/>
      <c r="P325" s="86"/>
    </row>
    <row r="326" spans="1:16">
      <c r="A326" s="100"/>
      <c r="B326" s="85"/>
      <c r="C326" s="4" t="s">
        <v>136</v>
      </c>
      <c r="D326" s="80"/>
      <c r="E326" s="80"/>
      <c r="F326" s="80"/>
      <c r="G326" s="80"/>
      <c r="H326" s="80"/>
      <c r="I326" s="80"/>
      <c r="J326" s="80"/>
      <c r="K326" s="80"/>
      <c r="L326" s="80"/>
      <c r="M326" s="160"/>
      <c r="N326" s="160"/>
      <c r="O326" s="82"/>
      <c r="P326" s="86"/>
    </row>
    <row r="327" spans="1:16">
      <c r="A327" s="100"/>
      <c r="B327" s="85" t="s">
        <v>159</v>
      </c>
      <c r="C327" s="100" t="s">
        <v>102</v>
      </c>
      <c r="D327" s="80"/>
      <c r="E327" s="80"/>
      <c r="F327" s="80"/>
      <c r="G327" s="80"/>
      <c r="H327" s="80"/>
      <c r="I327" s="80"/>
      <c r="J327" s="80"/>
      <c r="K327" s="80"/>
      <c r="L327" s="80"/>
      <c r="M327" s="160"/>
      <c r="N327" s="160"/>
      <c r="O327" s="82"/>
      <c r="P327" s="86"/>
    </row>
    <row r="328" spans="1:16">
      <c r="A328" s="100"/>
      <c r="B328" s="85"/>
      <c r="C328" s="100" t="s">
        <v>98</v>
      </c>
      <c r="D328" s="80"/>
      <c r="E328" s="80"/>
      <c r="F328" s="80"/>
      <c r="G328" s="80"/>
      <c r="H328" s="80"/>
      <c r="I328" s="80"/>
      <c r="J328" s="80"/>
      <c r="K328" s="80"/>
      <c r="L328" s="80"/>
      <c r="M328" s="160"/>
      <c r="N328" s="160"/>
      <c r="O328" s="82"/>
      <c r="P328" s="86"/>
    </row>
    <row r="329" spans="1:16">
      <c r="A329" s="100"/>
      <c r="B329" s="85"/>
      <c r="C329" s="100" t="s">
        <v>99</v>
      </c>
      <c r="D329" s="80"/>
      <c r="E329" s="80"/>
      <c r="F329" s="80"/>
      <c r="G329" s="80"/>
      <c r="H329" s="80"/>
      <c r="I329" s="80"/>
      <c r="J329" s="80"/>
      <c r="K329" s="80"/>
      <c r="L329" s="80"/>
      <c r="M329" s="160"/>
      <c r="N329" s="160"/>
      <c r="O329" s="82"/>
      <c r="P329" s="86"/>
    </row>
    <row r="330" spans="1:16">
      <c r="A330" s="100"/>
      <c r="B330" s="85"/>
      <c r="C330" s="100" t="s">
        <v>83</v>
      </c>
      <c r="D330" s="80"/>
      <c r="E330" s="80"/>
      <c r="F330" s="80"/>
      <c r="G330" s="80"/>
      <c r="H330" s="80"/>
      <c r="I330" s="80"/>
      <c r="J330" s="80"/>
      <c r="K330" s="80"/>
      <c r="L330" s="80"/>
      <c r="M330" s="160"/>
      <c r="N330" s="160"/>
      <c r="O330" s="82"/>
      <c r="P330" s="86"/>
    </row>
    <row r="331" spans="1:16">
      <c r="A331" s="100"/>
      <c r="B331" s="85"/>
      <c r="C331" s="100" t="s">
        <v>84</v>
      </c>
      <c r="D331" s="80"/>
      <c r="E331" s="80"/>
      <c r="F331" s="80"/>
      <c r="G331" s="80"/>
      <c r="H331" s="80"/>
      <c r="I331" s="80"/>
      <c r="J331" s="80"/>
      <c r="K331" s="80"/>
      <c r="L331" s="80"/>
      <c r="M331" s="160"/>
      <c r="N331" s="160"/>
      <c r="O331" s="82"/>
      <c r="P331" s="86"/>
    </row>
    <row r="332" spans="1:16">
      <c r="A332" s="100"/>
      <c r="B332" s="85"/>
      <c r="C332" s="100" t="s">
        <v>85</v>
      </c>
      <c r="D332" s="80"/>
      <c r="E332" s="80"/>
      <c r="F332" s="80"/>
      <c r="G332" s="80"/>
      <c r="H332" s="80"/>
      <c r="I332" s="80"/>
      <c r="J332" s="80"/>
      <c r="K332" s="80"/>
      <c r="L332" s="80"/>
      <c r="M332" s="160"/>
      <c r="N332" s="160"/>
      <c r="O332" s="82"/>
      <c r="P332" s="86"/>
    </row>
    <row r="333" spans="1:16">
      <c r="A333" s="100"/>
      <c r="B333" s="85"/>
      <c r="C333" s="100" t="s">
        <v>86</v>
      </c>
      <c r="D333" s="80"/>
      <c r="E333" s="80"/>
      <c r="F333" s="80"/>
      <c r="G333" s="80"/>
      <c r="H333" s="80"/>
      <c r="I333" s="80"/>
      <c r="J333" s="80"/>
      <c r="K333" s="80"/>
      <c r="L333" s="80"/>
      <c r="M333" s="160"/>
      <c r="N333" s="160"/>
      <c r="O333" s="82"/>
      <c r="P333" s="86"/>
    </row>
    <row r="334" spans="1:16">
      <c r="A334" s="100"/>
      <c r="B334" s="85"/>
      <c r="C334" s="100" t="s">
        <v>87</v>
      </c>
      <c r="D334" s="80"/>
      <c r="E334" s="80"/>
      <c r="F334" s="80"/>
      <c r="G334" s="80"/>
      <c r="H334" s="80"/>
      <c r="I334" s="80"/>
      <c r="J334" s="80"/>
      <c r="K334" s="80"/>
      <c r="L334" s="80"/>
      <c r="M334" s="160"/>
      <c r="N334" s="160"/>
      <c r="O334" s="82"/>
      <c r="P334" s="86"/>
    </row>
    <row r="335" spans="1:16">
      <c r="A335" s="100"/>
      <c r="B335" s="85"/>
      <c r="C335" s="100" t="s">
        <v>88</v>
      </c>
      <c r="D335" s="80"/>
      <c r="E335" s="80"/>
      <c r="F335" s="80"/>
      <c r="G335" s="80"/>
      <c r="H335" s="80"/>
      <c r="I335" s="80"/>
      <c r="J335" s="80"/>
      <c r="K335" s="80"/>
      <c r="L335" s="80"/>
      <c r="M335" s="160"/>
      <c r="N335" s="160"/>
      <c r="O335" s="82"/>
      <c r="P335" s="86"/>
    </row>
    <row r="336" spans="1:16">
      <c r="A336" s="100"/>
      <c r="B336" s="85"/>
      <c r="C336" s="100" t="s">
        <v>89</v>
      </c>
      <c r="D336" s="80"/>
      <c r="E336" s="80"/>
      <c r="F336" s="80"/>
      <c r="G336" s="80"/>
      <c r="H336" s="80"/>
      <c r="I336" s="80"/>
      <c r="J336" s="80"/>
      <c r="K336" s="80"/>
      <c r="L336" s="80"/>
      <c r="M336" s="160"/>
      <c r="N336" s="160"/>
      <c r="O336" s="82"/>
      <c r="P336" s="86"/>
    </row>
    <row r="337" spans="1:16">
      <c r="A337" s="100"/>
      <c r="B337" s="85"/>
      <c r="C337" s="100" t="s">
        <v>90</v>
      </c>
      <c r="D337" s="80"/>
      <c r="E337" s="80"/>
      <c r="F337" s="80"/>
      <c r="G337" s="80"/>
      <c r="H337" s="80"/>
      <c r="I337" s="80"/>
      <c r="J337" s="80"/>
      <c r="K337" s="80"/>
      <c r="L337" s="80"/>
      <c r="M337" s="160"/>
      <c r="N337" s="160"/>
      <c r="O337" s="82"/>
      <c r="P337" s="86"/>
    </row>
    <row r="338" spans="1:16">
      <c r="A338" s="100"/>
      <c r="B338" s="85"/>
      <c r="C338" s="100" t="s">
        <v>91</v>
      </c>
      <c r="D338" s="80"/>
      <c r="E338" s="80"/>
      <c r="F338" s="80"/>
      <c r="G338" s="80"/>
      <c r="H338" s="80"/>
      <c r="I338" s="80"/>
      <c r="J338" s="80"/>
      <c r="K338" s="80"/>
      <c r="L338" s="80"/>
      <c r="M338" s="160"/>
      <c r="N338" s="160"/>
      <c r="O338" s="82"/>
      <c r="P338" s="86"/>
    </row>
    <row r="339" spans="1:16">
      <c r="A339" s="100"/>
      <c r="B339" s="85"/>
      <c r="C339" s="100" t="s">
        <v>92</v>
      </c>
      <c r="D339" s="80"/>
      <c r="E339" s="80"/>
      <c r="F339" s="80"/>
      <c r="G339" s="80"/>
      <c r="H339" s="80"/>
      <c r="I339" s="80"/>
      <c r="J339" s="80"/>
      <c r="K339" s="80"/>
      <c r="L339" s="80"/>
      <c r="M339" s="160"/>
      <c r="N339" s="160"/>
      <c r="O339" s="82"/>
      <c r="P339" s="86"/>
    </row>
    <row r="340" spans="1:16">
      <c r="A340" s="100"/>
      <c r="B340" s="85"/>
      <c r="C340" s="100" t="s">
        <v>95</v>
      </c>
      <c r="D340" s="80"/>
      <c r="E340" s="80"/>
      <c r="F340" s="80"/>
      <c r="G340" s="80"/>
      <c r="H340" s="80"/>
      <c r="I340" s="80"/>
      <c r="J340" s="80"/>
      <c r="K340" s="80"/>
      <c r="L340" s="80"/>
      <c r="M340" s="160"/>
      <c r="N340" s="160"/>
      <c r="O340" s="82"/>
      <c r="P340" s="86"/>
    </row>
    <row r="341" spans="1:16">
      <c r="A341" s="100"/>
      <c r="B341" s="85"/>
      <c r="C341" s="100" t="s">
        <v>96</v>
      </c>
      <c r="D341" s="80"/>
      <c r="E341" s="80"/>
      <c r="F341" s="80"/>
      <c r="G341" s="80"/>
      <c r="H341" s="80"/>
      <c r="I341" s="80"/>
      <c r="J341" s="80"/>
      <c r="K341" s="80"/>
      <c r="L341" s="80"/>
      <c r="M341" s="160"/>
      <c r="N341" s="160"/>
      <c r="O341" s="82"/>
      <c r="P341" s="86"/>
    </row>
    <row r="342" spans="1:16">
      <c r="A342" s="100"/>
      <c r="B342" s="85"/>
      <c r="C342" s="100" t="s">
        <v>93</v>
      </c>
      <c r="D342" s="80"/>
      <c r="E342" s="80"/>
      <c r="F342" s="80"/>
      <c r="G342" s="80"/>
      <c r="H342" s="80"/>
      <c r="I342" s="80"/>
      <c r="J342" s="80"/>
      <c r="K342" s="80"/>
      <c r="L342" s="80"/>
      <c r="M342" s="160"/>
      <c r="N342" s="160"/>
      <c r="O342" s="82"/>
      <c r="P342" s="86"/>
    </row>
    <row r="343" spans="1:16">
      <c r="A343" s="100"/>
      <c r="B343" s="85"/>
      <c r="C343" s="100" t="s">
        <v>97</v>
      </c>
      <c r="D343" s="80"/>
      <c r="E343" s="80"/>
      <c r="F343" s="80"/>
      <c r="G343" s="80"/>
      <c r="H343" s="80"/>
      <c r="I343" s="80"/>
      <c r="J343" s="80"/>
      <c r="K343" s="80"/>
      <c r="L343" s="80"/>
      <c r="M343" s="160"/>
      <c r="N343" s="160"/>
      <c r="O343" s="82"/>
      <c r="P343" s="86"/>
    </row>
    <row r="344" spans="1:16">
      <c r="A344" s="100"/>
      <c r="B344" s="85"/>
      <c r="C344" s="4" t="s">
        <v>136</v>
      </c>
      <c r="D344" s="80"/>
      <c r="E344" s="80"/>
      <c r="F344" s="80"/>
      <c r="G344" s="80"/>
      <c r="H344" s="80"/>
      <c r="I344" s="80"/>
      <c r="J344" s="80"/>
      <c r="K344" s="80"/>
      <c r="L344" s="80"/>
      <c r="M344" s="160"/>
      <c r="N344" s="160"/>
      <c r="O344" s="82"/>
      <c r="P344" s="86"/>
    </row>
    <row r="345" spans="1:16">
      <c r="A345" s="100"/>
      <c r="B345" s="85" t="s">
        <v>160</v>
      </c>
      <c r="C345" s="100" t="s">
        <v>102</v>
      </c>
      <c r="D345" s="80"/>
      <c r="E345" s="80"/>
      <c r="F345" s="80"/>
      <c r="G345" s="80"/>
      <c r="H345" s="80"/>
      <c r="I345" s="80"/>
      <c r="J345" s="80"/>
      <c r="K345" s="80"/>
      <c r="L345" s="80"/>
      <c r="M345" s="160"/>
      <c r="N345" s="160"/>
      <c r="O345" s="82"/>
      <c r="P345" s="86"/>
    </row>
    <row r="346" spans="1:16">
      <c r="A346" s="100"/>
      <c r="B346" s="85"/>
      <c r="C346" s="100" t="s">
        <v>98</v>
      </c>
      <c r="D346" s="80"/>
      <c r="E346" s="80"/>
      <c r="F346" s="80"/>
      <c r="G346" s="80"/>
      <c r="H346" s="80"/>
      <c r="I346" s="80"/>
      <c r="J346" s="80"/>
      <c r="K346" s="80"/>
      <c r="L346" s="80"/>
      <c r="M346" s="160"/>
      <c r="N346" s="160"/>
      <c r="O346" s="82"/>
      <c r="P346" s="86"/>
    </row>
    <row r="347" spans="1:16">
      <c r="A347" s="100"/>
      <c r="B347" s="85"/>
      <c r="C347" s="100" t="s">
        <v>99</v>
      </c>
      <c r="D347" s="80"/>
      <c r="E347" s="80"/>
      <c r="F347" s="80"/>
      <c r="G347" s="80"/>
      <c r="H347" s="80"/>
      <c r="I347" s="80"/>
      <c r="J347" s="80"/>
      <c r="K347" s="80"/>
      <c r="L347" s="80"/>
      <c r="M347" s="160"/>
      <c r="N347" s="160"/>
      <c r="O347" s="82"/>
      <c r="P347" s="86"/>
    </row>
    <row r="348" spans="1:16">
      <c r="A348" s="100"/>
      <c r="B348" s="85"/>
      <c r="C348" s="100" t="s">
        <v>83</v>
      </c>
      <c r="D348" s="80"/>
      <c r="E348" s="80"/>
      <c r="F348" s="80"/>
      <c r="G348" s="80"/>
      <c r="H348" s="80"/>
      <c r="I348" s="80"/>
      <c r="J348" s="80"/>
      <c r="K348" s="80"/>
      <c r="L348" s="80"/>
      <c r="M348" s="160"/>
      <c r="N348" s="160"/>
      <c r="O348" s="82"/>
      <c r="P348" s="86"/>
    </row>
    <row r="349" spans="1:16">
      <c r="A349" s="100"/>
      <c r="B349" s="85"/>
      <c r="C349" s="100" t="s">
        <v>84</v>
      </c>
      <c r="D349" s="80"/>
      <c r="E349" s="80"/>
      <c r="F349" s="80"/>
      <c r="G349" s="80"/>
      <c r="H349" s="80"/>
      <c r="I349" s="80"/>
      <c r="J349" s="80"/>
      <c r="K349" s="80"/>
      <c r="L349" s="80"/>
      <c r="M349" s="160"/>
      <c r="N349" s="160"/>
      <c r="O349" s="82"/>
      <c r="P349" s="86"/>
    </row>
    <row r="350" spans="1:16">
      <c r="A350" s="100"/>
      <c r="B350" s="85"/>
      <c r="C350" s="100" t="s">
        <v>85</v>
      </c>
      <c r="D350" s="80"/>
      <c r="E350" s="80"/>
      <c r="F350" s="80"/>
      <c r="G350" s="80"/>
      <c r="H350" s="80"/>
      <c r="I350" s="80"/>
      <c r="J350" s="80"/>
      <c r="K350" s="80"/>
      <c r="L350" s="80"/>
      <c r="M350" s="160"/>
      <c r="N350" s="160"/>
      <c r="O350" s="82"/>
      <c r="P350" s="86"/>
    </row>
    <row r="351" spans="1:16">
      <c r="A351" s="100"/>
      <c r="B351" s="85"/>
      <c r="C351" s="100" t="s">
        <v>86</v>
      </c>
      <c r="D351" s="80"/>
      <c r="E351" s="80"/>
      <c r="F351" s="80"/>
      <c r="G351" s="80"/>
      <c r="H351" s="80"/>
      <c r="I351" s="80"/>
      <c r="J351" s="80"/>
      <c r="K351" s="80"/>
      <c r="L351" s="80"/>
      <c r="M351" s="160"/>
      <c r="N351" s="160"/>
      <c r="O351" s="82"/>
      <c r="P351" s="86"/>
    </row>
    <row r="352" spans="1:16">
      <c r="A352" s="100"/>
      <c r="B352" s="85"/>
      <c r="C352" s="100" t="s">
        <v>87</v>
      </c>
      <c r="D352" s="80"/>
      <c r="E352" s="80"/>
      <c r="F352" s="80"/>
      <c r="G352" s="80"/>
      <c r="H352" s="80"/>
      <c r="I352" s="80"/>
      <c r="J352" s="80"/>
      <c r="K352" s="80"/>
      <c r="L352" s="80"/>
      <c r="M352" s="160"/>
      <c r="N352" s="160"/>
      <c r="O352" s="82"/>
      <c r="P352" s="86"/>
    </row>
    <row r="353" spans="1:16">
      <c r="A353" s="100"/>
      <c r="B353" s="85"/>
      <c r="C353" s="100" t="s">
        <v>88</v>
      </c>
      <c r="D353" s="80"/>
      <c r="E353" s="80"/>
      <c r="F353" s="80"/>
      <c r="G353" s="80"/>
      <c r="H353" s="80"/>
      <c r="I353" s="80"/>
      <c r="J353" s="80"/>
      <c r="K353" s="80"/>
      <c r="L353" s="80"/>
      <c r="M353" s="160"/>
      <c r="N353" s="160"/>
      <c r="O353" s="82"/>
      <c r="P353" s="86"/>
    </row>
    <row r="354" spans="1:16">
      <c r="A354" s="100"/>
      <c r="B354" s="85"/>
      <c r="C354" s="100" t="s">
        <v>89</v>
      </c>
      <c r="D354" s="80"/>
      <c r="E354" s="80"/>
      <c r="F354" s="80"/>
      <c r="G354" s="80"/>
      <c r="H354" s="80"/>
      <c r="I354" s="80"/>
      <c r="J354" s="80"/>
      <c r="K354" s="80"/>
      <c r="L354" s="80"/>
      <c r="M354" s="160"/>
      <c r="N354" s="160"/>
      <c r="O354" s="82"/>
      <c r="P354" s="86"/>
    </row>
    <row r="355" spans="1:16">
      <c r="A355" s="100"/>
      <c r="B355" s="85"/>
      <c r="C355" s="100" t="s">
        <v>90</v>
      </c>
      <c r="D355" s="80"/>
      <c r="E355" s="80"/>
      <c r="F355" s="80"/>
      <c r="G355" s="80"/>
      <c r="H355" s="80"/>
      <c r="I355" s="80"/>
      <c r="J355" s="80"/>
      <c r="K355" s="80"/>
      <c r="L355" s="80"/>
      <c r="M355" s="160"/>
      <c r="N355" s="160"/>
      <c r="O355" s="82"/>
      <c r="P355" s="86"/>
    </row>
    <row r="356" spans="1:16">
      <c r="A356" s="100"/>
      <c r="B356" s="85"/>
      <c r="C356" s="100" t="s">
        <v>91</v>
      </c>
      <c r="D356" s="80"/>
      <c r="E356" s="80"/>
      <c r="F356" s="80"/>
      <c r="G356" s="80"/>
      <c r="H356" s="80"/>
      <c r="I356" s="80"/>
      <c r="J356" s="80"/>
      <c r="K356" s="80"/>
      <c r="L356" s="80"/>
      <c r="M356" s="160"/>
      <c r="N356" s="160"/>
      <c r="O356" s="82"/>
      <c r="P356" s="86"/>
    </row>
    <row r="357" spans="1:16">
      <c r="A357" s="100"/>
      <c r="B357" s="85"/>
      <c r="C357" s="100" t="s">
        <v>92</v>
      </c>
      <c r="D357" s="80"/>
      <c r="E357" s="80"/>
      <c r="F357" s="80"/>
      <c r="G357" s="80"/>
      <c r="H357" s="80"/>
      <c r="I357" s="80"/>
      <c r="J357" s="80"/>
      <c r="K357" s="80"/>
      <c r="L357" s="80"/>
      <c r="M357" s="160"/>
      <c r="N357" s="160"/>
      <c r="O357" s="82"/>
      <c r="P357" s="86"/>
    </row>
    <row r="358" spans="1:16">
      <c r="A358" s="100"/>
      <c r="B358" s="85"/>
      <c r="C358" s="100" t="s">
        <v>95</v>
      </c>
      <c r="D358" s="80"/>
      <c r="E358" s="80"/>
      <c r="F358" s="80"/>
      <c r="G358" s="80"/>
      <c r="H358" s="80"/>
      <c r="I358" s="80"/>
      <c r="J358" s="80"/>
      <c r="K358" s="80"/>
      <c r="L358" s="80"/>
      <c r="M358" s="160"/>
      <c r="N358" s="160"/>
      <c r="O358" s="82"/>
      <c r="P358" s="86"/>
    </row>
    <row r="359" spans="1:16">
      <c r="A359" s="100"/>
      <c r="B359" s="85"/>
      <c r="C359" s="100" t="s">
        <v>96</v>
      </c>
      <c r="D359" s="80"/>
      <c r="E359" s="80"/>
      <c r="F359" s="80"/>
      <c r="G359" s="80"/>
      <c r="H359" s="80"/>
      <c r="I359" s="80"/>
      <c r="J359" s="80"/>
      <c r="K359" s="80"/>
      <c r="L359" s="80"/>
      <c r="M359" s="160"/>
      <c r="N359" s="160"/>
      <c r="O359" s="82"/>
      <c r="P359" s="86"/>
    </row>
    <row r="360" spans="1:16">
      <c r="A360" s="100"/>
      <c r="B360" s="85"/>
      <c r="C360" s="100" t="s">
        <v>93</v>
      </c>
      <c r="D360" s="80"/>
      <c r="E360" s="80"/>
      <c r="F360" s="80"/>
      <c r="G360" s="80"/>
      <c r="H360" s="80"/>
      <c r="I360" s="80"/>
      <c r="J360" s="80"/>
      <c r="K360" s="80"/>
      <c r="L360" s="80"/>
      <c r="M360" s="160"/>
      <c r="N360" s="160"/>
      <c r="O360" s="82"/>
      <c r="P360" s="86"/>
    </row>
    <row r="361" spans="1:16">
      <c r="A361" s="100"/>
      <c r="B361" s="85"/>
      <c r="C361" s="100" t="s">
        <v>97</v>
      </c>
      <c r="D361" s="80"/>
      <c r="E361" s="80"/>
      <c r="F361" s="80"/>
      <c r="G361" s="80"/>
      <c r="H361" s="80"/>
      <c r="I361" s="80"/>
      <c r="J361" s="80"/>
      <c r="K361" s="80"/>
      <c r="L361" s="80"/>
      <c r="M361" s="160"/>
      <c r="N361" s="160"/>
      <c r="O361" s="82"/>
      <c r="P361" s="86"/>
    </row>
    <row r="362" spans="1:16">
      <c r="A362" s="100"/>
      <c r="B362" s="85"/>
      <c r="C362" s="4" t="s">
        <v>136</v>
      </c>
      <c r="D362" s="80"/>
      <c r="E362" s="80"/>
      <c r="F362" s="80"/>
      <c r="G362" s="80"/>
      <c r="H362" s="80"/>
      <c r="I362" s="80"/>
      <c r="J362" s="80"/>
      <c r="K362" s="80"/>
      <c r="L362" s="80"/>
      <c r="M362" s="160"/>
      <c r="N362" s="160"/>
      <c r="O362" s="82"/>
      <c r="P362" s="86"/>
    </row>
    <row r="363" spans="1:16">
      <c r="A363" s="100"/>
      <c r="B363" s="85" t="s">
        <v>161</v>
      </c>
      <c r="C363" s="100" t="s">
        <v>102</v>
      </c>
      <c r="D363" s="80"/>
      <c r="E363" s="80"/>
      <c r="F363" s="80"/>
      <c r="G363" s="80"/>
      <c r="H363" s="80"/>
      <c r="I363" s="80"/>
      <c r="J363" s="80"/>
      <c r="K363" s="80"/>
      <c r="L363" s="80"/>
      <c r="M363" s="160"/>
      <c r="N363" s="160"/>
      <c r="O363" s="82"/>
      <c r="P363" s="86"/>
    </row>
    <row r="364" spans="1:16">
      <c r="A364" s="100"/>
      <c r="B364" s="85"/>
      <c r="C364" s="100" t="s">
        <v>98</v>
      </c>
      <c r="D364" s="80"/>
      <c r="E364" s="80"/>
      <c r="F364" s="80"/>
      <c r="G364" s="80"/>
      <c r="H364" s="80"/>
      <c r="I364" s="80"/>
      <c r="J364" s="80"/>
      <c r="K364" s="80"/>
      <c r="L364" s="80"/>
      <c r="M364" s="160"/>
      <c r="N364" s="160"/>
      <c r="O364" s="82"/>
      <c r="P364" s="86"/>
    </row>
    <row r="365" spans="1:16">
      <c r="A365" s="100"/>
      <c r="B365" s="85"/>
      <c r="C365" s="100" t="s">
        <v>99</v>
      </c>
      <c r="D365" s="80"/>
      <c r="E365" s="80"/>
      <c r="F365" s="80"/>
      <c r="G365" s="80"/>
      <c r="H365" s="80"/>
      <c r="I365" s="80"/>
      <c r="J365" s="80"/>
      <c r="K365" s="80"/>
      <c r="L365" s="80"/>
      <c r="M365" s="160"/>
      <c r="N365" s="160"/>
      <c r="O365" s="82"/>
      <c r="P365" s="86"/>
    </row>
    <row r="366" spans="1:16">
      <c r="A366" s="100"/>
      <c r="B366" s="85"/>
      <c r="C366" s="100" t="s">
        <v>83</v>
      </c>
      <c r="D366" s="80"/>
      <c r="E366" s="80"/>
      <c r="F366" s="80"/>
      <c r="G366" s="80"/>
      <c r="H366" s="80"/>
      <c r="I366" s="80"/>
      <c r="J366" s="80"/>
      <c r="K366" s="80"/>
      <c r="L366" s="80"/>
      <c r="M366" s="160"/>
      <c r="N366" s="160"/>
      <c r="O366" s="82"/>
      <c r="P366" s="86"/>
    </row>
    <row r="367" spans="1:16">
      <c r="A367" s="100"/>
      <c r="B367" s="85"/>
      <c r="C367" s="100" t="s">
        <v>84</v>
      </c>
      <c r="D367" s="80"/>
      <c r="E367" s="80"/>
      <c r="F367" s="80"/>
      <c r="G367" s="80"/>
      <c r="H367" s="80"/>
      <c r="I367" s="80"/>
      <c r="J367" s="80"/>
      <c r="K367" s="80"/>
      <c r="L367" s="80"/>
      <c r="M367" s="160"/>
      <c r="N367" s="160"/>
      <c r="O367" s="82"/>
      <c r="P367" s="86"/>
    </row>
    <row r="368" spans="1:16">
      <c r="A368" s="100"/>
      <c r="B368" s="85"/>
      <c r="C368" s="100" t="s">
        <v>85</v>
      </c>
      <c r="D368" s="80"/>
      <c r="E368" s="80"/>
      <c r="F368" s="80"/>
      <c r="G368" s="80"/>
      <c r="H368" s="80"/>
      <c r="I368" s="80"/>
      <c r="J368" s="80"/>
      <c r="K368" s="80"/>
      <c r="L368" s="80"/>
      <c r="M368" s="160"/>
      <c r="N368" s="160"/>
      <c r="O368" s="82"/>
      <c r="P368" s="86"/>
    </row>
    <row r="369" spans="1:16">
      <c r="A369" s="100"/>
      <c r="B369" s="85"/>
      <c r="C369" s="100" t="s">
        <v>86</v>
      </c>
      <c r="D369" s="80"/>
      <c r="E369" s="80"/>
      <c r="F369" s="80"/>
      <c r="G369" s="80"/>
      <c r="H369" s="80"/>
      <c r="I369" s="80"/>
      <c r="J369" s="80"/>
      <c r="K369" s="80"/>
      <c r="L369" s="80"/>
      <c r="M369" s="160"/>
      <c r="N369" s="160"/>
      <c r="O369" s="82"/>
      <c r="P369" s="86"/>
    </row>
    <row r="370" spans="1:16">
      <c r="A370" s="100"/>
      <c r="B370" s="85"/>
      <c r="C370" s="100" t="s">
        <v>87</v>
      </c>
      <c r="D370" s="80"/>
      <c r="E370" s="80"/>
      <c r="F370" s="80"/>
      <c r="G370" s="80"/>
      <c r="H370" s="80"/>
      <c r="I370" s="80"/>
      <c r="J370" s="80"/>
      <c r="K370" s="80"/>
      <c r="L370" s="80"/>
      <c r="M370" s="160"/>
      <c r="N370" s="160"/>
      <c r="O370" s="82"/>
      <c r="P370" s="86"/>
    </row>
    <row r="371" spans="1:16">
      <c r="A371" s="100"/>
      <c r="B371" s="85"/>
      <c r="C371" s="100" t="s">
        <v>88</v>
      </c>
      <c r="D371" s="80"/>
      <c r="E371" s="80"/>
      <c r="F371" s="80"/>
      <c r="G371" s="80"/>
      <c r="H371" s="80"/>
      <c r="I371" s="80"/>
      <c r="J371" s="80"/>
      <c r="K371" s="80"/>
      <c r="L371" s="80"/>
      <c r="M371" s="160"/>
      <c r="N371" s="160"/>
      <c r="O371" s="82"/>
      <c r="P371" s="86"/>
    </row>
    <row r="372" spans="1:16">
      <c r="A372" s="100"/>
      <c r="B372" s="85"/>
      <c r="C372" s="100" t="s">
        <v>89</v>
      </c>
      <c r="D372" s="80"/>
      <c r="E372" s="80"/>
      <c r="F372" s="80"/>
      <c r="G372" s="80"/>
      <c r="H372" s="80"/>
      <c r="I372" s="80"/>
      <c r="J372" s="80"/>
      <c r="K372" s="80"/>
      <c r="L372" s="80"/>
      <c r="M372" s="160"/>
      <c r="N372" s="160"/>
      <c r="O372" s="82"/>
      <c r="P372" s="86"/>
    </row>
    <row r="373" spans="1:16">
      <c r="A373" s="100"/>
      <c r="B373" s="85"/>
      <c r="C373" s="100" t="s">
        <v>90</v>
      </c>
      <c r="D373" s="80"/>
      <c r="E373" s="80"/>
      <c r="F373" s="80"/>
      <c r="G373" s="80"/>
      <c r="H373" s="80"/>
      <c r="I373" s="80"/>
      <c r="J373" s="80"/>
      <c r="K373" s="80"/>
      <c r="L373" s="80"/>
      <c r="M373" s="160"/>
      <c r="N373" s="160"/>
      <c r="O373" s="82"/>
      <c r="P373" s="86"/>
    </row>
    <row r="374" spans="1:16">
      <c r="A374" s="100"/>
      <c r="B374" s="85"/>
      <c r="C374" s="100" t="s">
        <v>91</v>
      </c>
      <c r="D374" s="80"/>
      <c r="E374" s="80"/>
      <c r="F374" s="80"/>
      <c r="G374" s="80"/>
      <c r="H374" s="80"/>
      <c r="I374" s="80"/>
      <c r="J374" s="80"/>
      <c r="K374" s="80"/>
      <c r="L374" s="80"/>
      <c r="M374" s="160"/>
      <c r="N374" s="160"/>
      <c r="O374" s="82"/>
      <c r="P374" s="86"/>
    </row>
    <row r="375" spans="1:16">
      <c r="A375" s="100"/>
      <c r="B375" s="85"/>
      <c r="C375" s="100" t="s">
        <v>92</v>
      </c>
      <c r="D375" s="80"/>
      <c r="E375" s="80"/>
      <c r="F375" s="80"/>
      <c r="G375" s="80"/>
      <c r="H375" s="80"/>
      <c r="I375" s="80"/>
      <c r="J375" s="80"/>
      <c r="K375" s="80"/>
      <c r="L375" s="80"/>
      <c r="M375" s="160"/>
      <c r="N375" s="160"/>
      <c r="O375" s="82"/>
      <c r="P375" s="86"/>
    </row>
    <row r="376" spans="1:16">
      <c r="A376" s="100"/>
      <c r="B376" s="85"/>
      <c r="C376" s="100" t="s">
        <v>95</v>
      </c>
      <c r="D376" s="80"/>
      <c r="E376" s="80"/>
      <c r="F376" s="80"/>
      <c r="G376" s="80"/>
      <c r="H376" s="80"/>
      <c r="I376" s="80"/>
      <c r="J376" s="80"/>
      <c r="K376" s="80"/>
      <c r="L376" s="80"/>
      <c r="M376" s="160"/>
      <c r="N376" s="160"/>
      <c r="O376" s="82"/>
      <c r="P376" s="86"/>
    </row>
    <row r="377" spans="1:16">
      <c r="A377" s="100"/>
      <c r="B377" s="85"/>
      <c r="C377" s="100" t="s">
        <v>96</v>
      </c>
      <c r="D377" s="80"/>
      <c r="E377" s="80"/>
      <c r="F377" s="80"/>
      <c r="G377" s="80"/>
      <c r="H377" s="80"/>
      <c r="I377" s="80"/>
      <c r="J377" s="80"/>
      <c r="K377" s="80"/>
      <c r="L377" s="80"/>
      <c r="M377" s="160"/>
      <c r="N377" s="160"/>
      <c r="O377" s="82"/>
      <c r="P377" s="86"/>
    </row>
    <row r="378" spans="1:16">
      <c r="A378" s="100"/>
      <c r="B378" s="85"/>
      <c r="C378" s="100" t="s">
        <v>93</v>
      </c>
      <c r="D378" s="80"/>
      <c r="E378" s="80"/>
      <c r="F378" s="80"/>
      <c r="G378" s="80"/>
      <c r="H378" s="80"/>
      <c r="I378" s="80"/>
      <c r="J378" s="80"/>
      <c r="K378" s="80"/>
      <c r="L378" s="80"/>
      <c r="M378" s="160"/>
      <c r="N378" s="160"/>
      <c r="O378" s="82"/>
      <c r="P378" s="86"/>
    </row>
    <row r="379" spans="1:16">
      <c r="A379" s="100"/>
      <c r="B379" s="85"/>
      <c r="C379" s="100" t="s">
        <v>97</v>
      </c>
      <c r="D379" s="80"/>
      <c r="E379" s="80"/>
      <c r="F379" s="80"/>
      <c r="G379" s="80"/>
      <c r="H379" s="80"/>
      <c r="I379" s="80"/>
      <c r="J379" s="80"/>
      <c r="K379" s="80"/>
      <c r="L379" s="80"/>
      <c r="M379" s="160"/>
      <c r="N379" s="160"/>
      <c r="O379" s="82"/>
      <c r="P379" s="86"/>
    </row>
    <row r="380" spans="1:16">
      <c r="A380" s="100"/>
      <c r="B380" s="85"/>
      <c r="C380" s="4" t="s">
        <v>136</v>
      </c>
      <c r="D380" s="80"/>
      <c r="E380" s="80"/>
      <c r="F380" s="80"/>
      <c r="G380" s="80"/>
      <c r="H380" s="80"/>
      <c r="I380" s="80"/>
      <c r="J380" s="80"/>
      <c r="K380" s="80"/>
      <c r="L380" s="80"/>
      <c r="M380" s="160"/>
      <c r="N380" s="160"/>
      <c r="O380" s="82"/>
      <c r="P380" s="86"/>
    </row>
    <row r="381" spans="1:16">
      <c r="A381" s="100"/>
      <c r="B381" s="85" t="s">
        <v>162</v>
      </c>
      <c r="C381" s="100" t="s">
        <v>102</v>
      </c>
      <c r="D381" s="80"/>
      <c r="E381" s="80"/>
      <c r="F381" s="80"/>
      <c r="G381" s="80"/>
      <c r="H381" s="80"/>
      <c r="I381" s="80"/>
      <c r="J381" s="80"/>
      <c r="K381" s="80"/>
      <c r="L381" s="80"/>
      <c r="M381" s="160"/>
      <c r="N381" s="160"/>
      <c r="O381" s="82"/>
      <c r="P381" s="86"/>
    </row>
    <row r="382" spans="1:16">
      <c r="A382" s="100"/>
      <c r="B382" s="85"/>
      <c r="C382" s="100" t="s">
        <v>98</v>
      </c>
      <c r="D382" s="80"/>
      <c r="E382" s="80"/>
      <c r="F382" s="80"/>
      <c r="G382" s="80"/>
      <c r="H382" s="80"/>
      <c r="I382" s="80"/>
      <c r="J382" s="80"/>
      <c r="K382" s="80"/>
      <c r="L382" s="80"/>
      <c r="M382" s="160"/>
      <c r="N382" s="160"/>
      <c r="O382" s="82"/>
      <c r="P382" s="86"/>
    </row>
    <row r="383" spans="1:16">
      <c r="A383" s="100"/>
      <c r="B383" s="85"/>
      <c r="C383" s="100" t="s">
        <v>99</v>
      </c>
      <c r="D383" s="80"/>
      <c r="E383" s="80"/>
      <c r="F383" s="80"/>
      <c r="G383" s="80"/>
      <c r="H383" s="80"/>
      <c r="I383" s="80"/>
      <c r="J383" s="80"/>
      <c r="K383" s="80"/>
      <c r="L383" s="80"/>
      <c r="M383" s="160"/>
      <c r="N383" s="160"/>
      <c r="O383" s="82"/>
      <c r="P383" s="86"/>
    </row>
    <row r="384" spans="1:16">
      <c r="A384" s="100"/>
      <c r="B384" s="85"/>
      <c r="C384" s="100" t="s">
        <v>83</v>
      </c>
      <c r="D384" s="80"/>
      <c r="E384" s="80"/>
      <c r="F384" s="80"/>
      <c r="G384" s="80"/>
      <c r="H384" s="80"/>
      <c r="I384" s="80"/>
      <c r="J384" s="80"/>
      <c r="K384" s="80"/>
      <c r="L384" s="80"/>
      <c r="M384" s="160"/>
      <c r="N384" s="160"/>
      <c r="O384" s="82"/>
      <c r="P384" s="86"/>
    </row>
    <row r="385" spans="1:16">
      <c r="A385" s="100"/>
      <c r="B385" s="85"/>
      <c r="C385" s="100" t="s">
        <v>84</v>
      </c>
      <c r="D385" s="80"/>
      <c r="E385" s="80"/>
      <c r="F385" s="80"/>
      <c r="G385" s="80"/>
      <c r="H385" s="80"/>
      <c r="I385" s="80"/>
      <c r="J385" s="80"/>
      <c r="K385" s="80"/>
      <c r="L385" s="80"/>
      <c r="M385" s="160"/>
      <c r="N385" s="160"/>
      <c r="O385" s="82"/>
      <c r="P385" s="86"/>
    </row>
    <row r="386" spans="1:16">
      <c r="A386" s="100"/>
      <c r="B386" s="85"/>
      <c r="C386" s="100" t="s">
        <v>85</v>
      </c>
      <c r="D386" s="80"/>
      <c r="E386" s="80"/>
      <c r="F386" s="80"/>
      <c r="G386" s="80"/>
      <c r="H386" s="80"/>
      <c r="I386" s="80"/>
      <c r="J386" s="80"/>
      <c r="K386" s="80"/>
      <c r="L386" s="80"/>
      <c r="M386" s="160"/>
      <c r="N386" s="160"/>
      <c r="O386" s="82"/>
      <c r="P386" s="86"/>
    </row>
    <row r="387" spans="1:16">
      <c r="A387" s="100"/>
      <c r="B387" s="85"/>
      <c r="C387" s="100" t="s">
        <v>86</v>
      </c>
      <c r="D387" s="80"/>
      <c r="E387" s="80"/>
      <c r="F387" s="80"/>
      <c r="G387" s="80"/>
      <c r="H387" s="80"/>
      <c r="I387" s="80"/>
      <c r="J387" s="80"/>
      <c r="K387" s="80"/>
      <c r="L387" s="80"/>
      <c r="M387" s="160"/>
      <c r="N387" s="160"/>
      <c r="O387" s="82"/>
      <c r="P387" s="86"/>
    </row>
    <row r="388" spans="1:16">
      <c r="A388" s="100"/>
      <c r="B388" s="85"/>
      <c r="C388" s="100" t="s">
        <v>87</v>
      </c>
      <c r="D388" s="80"/>
      <c r="E388" s="80"/>
      <c r="F388" s="80"/>
      <c r="G388" s="80"/>
      <c r="H388" s="80"/>
      <c r="I388" s="80"/>
      <c r="J388" s="80"/>
      <c r="K388" s="80"/>
      <c r="L388" s="80"/>
      <c r="M388" s="160"/>
      <c r="N388" s="160"/>
      <c r="O388" s="82"/>
      <c r="P388" s="86"/>
    </row>
    <row r="389" spans="1:16">
      <c r="A389" s="100"/>
      <c r="B389" s="85"/>
      <c r="C389" s="100" t="s">
        <v>88</v>
      </c>
      <c r="D389" s="80"/>
      <c r="E389" s="80"/>
      <c r="F389" s="80"/>
      <c r="G389" s="80"/>
      <c r="H389" s="80"/>
      <c r="I389" s="80"/>
      <c r="J389" s="80"/>
      <c r="K389" s="80"/>
      <c r="L389" s="80"/>
      <c r="M389" s="160"/>
      <c r="N389" s="160"/>
      <c r="O389" s="82"/>
      <c r="P389" s="86"/>
    </row>
    <row r="390" spans="1:16">
      <c r="A390" s="100"/>
      <c r="B390" s="85"/>
      <c r="C390" s="100" t="s">
        <v>89</v>
      </c>
      <c r="D390" s="80"/>
      <c r="E390" s="80"/>
      <c r="F390" s="80"/>
      <c r="G390" s="80"/>
      <c r="H390" s="80"/>
      <c r="I390" s="80"/>
      <c r="J390" s="80"/>
      <c r="K390" s="80"/>
      <c r="L390" s="80"/>
      <c r="M390" s="160"/>
      <c r="N390" s="160"/>
      <c r="O390" s="82"/>
      <c r="P390" s="86"/>
    </row>
    <row r="391" spans="1:16">
      <c r="A391" s="100"/>
      <c r="B391" s="85"/>
      <c r="C391" s="100" t="s">
        <v>90</v>
      </c>
      <c r="D391" s="80"/>
      <c r="E391" s="80"/>
      <c r="F391" s="80"/>
      <c r="G391" s="80"/>
      <c r="H391" s="80"/>
      <c r="I391" s="80"/>
      <c r="J391" s="80"/>
      <c r="K391" s="80"/>
      <c r="L391" s="80"/>
      <c r="M391" s="160"/>
      <c r="N391" s="160"/>
      <c r="O391" s="82"/>
      <c r="P391" s="86"/>
    </row>
    <row r="392" spans="1:16">
      <c r="A392" s="100"/>
      <c r="B392" s="85"/>
      <c r="C392" s="100" t="s">
        <v>91</v>
      </c>
      <c r="D392" s="80"/>
      <c r="E392" s="80"/>
      <c r="F392" s="80"/>
      <c r="G392" s="80"/>
      <c r="H392" s="80"/>
      <c r="I392" s="80"/>
      <c r="J392" s="80"/>
      <c r="K392" s="80"/>
      <c r="L392" s="80"/>
      <c r="M392" s="160"/>
      <c r="N392" s="160"/>
      <c r="O392" s="82"/>
      <c r="P392" s="86"/>
    </row>
    <row r="393" spans="1:16">
      <c r="A393" s="100"/>
      <c r="B393" s="85"/>
      <c r="C393" s="100" t="s">
        <v>92</v>
      </c>
      <c r="D393" s="80"/>
      <c r="E393" s="80"/>
      <c r="F393" s="80"/>
      <c r="G393" s="80"/>
      <c r="H393" s="80"/>
      <c r="I393" s="80"/>
      <c r="J393" s="80"/>
      <c r="K393" s="80"/>
      <c r="L393" s="80"/>
      <c r="M393" s="160"/>
      <c r="N393" s="160"/>
      <c r="O393" s="82"/>
      <c r="P393" s="86"/>
    </row>
    <row r="394" spans="1:16">
      <c r="A394" s="100"/>
      <c r="B394" s="85"/>
      <c r="C394" s="100" t="s">
        <v>95</v>
      </c>
      <c r="D394" s="80"/>
      <c r="E394" s="80"/>
      <c r="F394" s="80"/>
      <c r="G394" s="80"/>
      <c r="H394" s="80"/>
      <c r="I394" s="80"/>
      <c r="J394" s="80"/>
      <c r="K394" s="80"/>
      <c r="L394" s="80"/>
      <c r="M394" s="160"/>
      <c r="N394" s="160"/>
      <c r="O394" s="82"/>
      <c r="P394" s="86"/>
    </row>
    <row r="395" spans="1:16">
      <c r="A395" s="100"/>
      <c r="B395" s="85"/>
      <c r="C395" s="100" t="s">
        <v>96</v>
      </c>
      <c r="D395" s="80"/>
      <c r="E395" s="80"/>
      <c r="F395" s="80"/>
      <c r="G395" s="80"/>
      <c r="H395" s="80"/>
      <c r="I395" s="80"/>
      <c r="J395" s="80"/>
      <c r="K395" s="80"/>
      <c r="L395" s="80"/>
      <c r="M395" s="160"/>
      <c r="N395" s="160"/>
      <c r="O395" s="82"/>
      <c r="P395" s="86"/>
    </row>
    <row r="396" spans="1:16">
      <c r="A396" s="100"/>
      <c r="B396" s="85"/>
      <c r="C396" s="100" t="s">
        <v>93</v>
      </c>
      <c r="D396" s="80"/>
      <c r="E396" s="80"/>
      <c r="F396" s="80"/>
      <c r="G396" s="80"/>
      <c r="H396" s="80"/>
      <c r="I396" s="80"/>
      <c r="J396" s="80"/>
      <c r="K396" s="80"/>
      <c r="L396" s="80"/>
      <c r="M396" s="160"/>
      <c r="N396" s="160"/>
      <c r="O396" s="82"/>
      <c r="P396" s="86"/>
    </row>
    <row r="397" spans="1:16">
      <c r="A397" s="100"/>
      <c r="B397" s="85"/>
      <c r="C397" s="100" t="s">
        <v>97</v>
      </c>
      <c r="D397" s="80"/>
      <c r="E397" s="80"/>
      <c r="F397" s="80"/>
      <c r="G397" s="80"/>
      <c r="H397" s="80"/>
      <c r="I397" s="80"/>
      <c r="J397" s="80"/>
      <c r="K397" s="80"/>
      <c r="L397" s="80"/>
      <c r="M397" s="160"/>
      <c r="N397" s="160"/>
      <c r="O397" s="82"/>
      <c r="P397" s="86"/>
    </row>
    <row r="398" spans="1:16">
      <c r="A398" s="100"/>
      <c r="B398" s="85"/>
      <c r="C398" s="4" t="s">
        <v>136</v>
      </c>
      <c r="D398" s="80"/>
      <c r="E398" s="80"/>
      <c r="F398" s="80"/>
      <c r="G398" s="80"/>
      <c r="H398" s="80"/>
      <c r="I398" s="80"/>
      <c r="J398" s="80"/>
      <c r="K398" s="80"/>
      <c r="L398" s="80"/>
      <c r="M398" s="160"/>
      <c r="N398" s="160"/>
      <c r="O398" s="82"/>
      <c r="P398" s="86"/>
    </row>
    <row r="399" spans="1:16">
      <c r="A399" s="100"/>
      <c r="B399" s="85" t="s">
        <v>163</v>
      </c>
      <c r="C399" s="100" t="s">
        <v>102</v>
      </c>
      <c r="D399" s="80"/>
      <c r="E399" s="80"/>
      <c r="F399" s="80"/>
      <c r="G399" s="80"/>
      <c r="H399" s="80"/>
      <c r="I399" s="80"/>
      <c r="J399" s="80"/>
      <c r="K399" s="80"/>
      <c r="L399" s="80"/>
      <c r="M399" s="160"/>
      <c r="N399" s="160"/>
      <c r="O399" s="82"/>
      <c r="P399" s="86"/>
    </row>
    <row r="400" spans="1:16">
      <c r="A400" s="100"/>
      <c r="B400" s="85"/>
      <c r="C400" s="100" t="s">
        <v>98</v>
      </c>
      <c r="D400" s="80"/>
      <c r="E400" s="80"/>
      <c r="F400" s="80"/>
      <c r="G400" s="80"/>
      <c r="H400" s="80"/>
      <c r="I400" s="80"/>
      <c r="J400" s="80"/>
      <c r="K400" s="80"/>
      <c r="L400" s="80"/>
      <c r="M400" s="160"/>
      <c r="N400" s="160"/>
      <c r="O400" s="82"/>
      <c r="P400" s="86"/>
    </row>
    <row r="401" spans="1:16">
      <c r="A401" s="100"/>
      <c r="B401" s="85"/>
      <c r="C401" s="100" t="s">
        <v>99</v>
      </c>
      <c r="D401" s="80"/>
      <c r="E401" s="80"/>
      <c r="F401" s="80"/>
      <c r="G401" s="80"/>
      <c r="H401" s="80"/>
      <c r="I401" s="80"/>
      <c r="J401" s="80"/>
      <c r="K401" s="80"/>
      <c r="L401" s="80"/>
      <c r="M401" s="160"/>
      <c r="N401" s="160"/>
      <c r="O401" s="82"/>
      <c r="P401" s="86"/>
    </row>
    <row r="402" spans="1:16">
      <c r="A402" s="100"/>
      <c r="B402" s="85"/>
      <c r="C402" s="100" t="s">
        <v>83</v>
      </c>
      <c r="D402" s="80"/>
      <c r="E402" s="80"/>
      <c r="F402" s="80"/>
      <c r="G402" s="80"/>
      <c r="H402" s="80"/>
      <c r="I402" s="80"/>
      <c r="J402" s="80"/>
      <c r="K402" s="80"/>
      <c r="L402" s="80"/>
      <c r="M402" s="160"/>
      <c r="N402" s="160"/>
      <c r="O402" s="82"/>
      <c r="P402" s="86"/>
    </row>
    <row r="403" spans="1:16">
      <c r="A403" s="100"/>
      <c r="B403" s="85"/>
      <c r="C403" s="100" t="s">
        <v>84</v>
      </c>
      <c r="D403" s="80"/>
      <c r="E403" s="80"/>
      <c r="F403" s="80"/>
      <c r="G403" s="80"/>
      <c r="H403" s="80"/>
      <c r="I403" s="80"/>
      <c r="J403" s="80"/>
      <c r="K403" s="80"/>
      <c r="L403" s="80"/>
      <c r="M403" s="160"/>
      <c r="N403" s="160"/>
      <c r="O403" s="82"/>
      <c r="P403" s="86"/>
    </row>
    <row r="404" spans="1:16">
      <c r="A404" s="100"/>
      <c r="B404" s="85"/>
      <c r="C404" s="100" t="s">
        <v>85</v>
      </c>
      <c r="D404" s="80"/>
      <c r="E404" s="80"/>
      <c r="F404" s="80"/>
      <c r="G404" s="80"/>
      <c r="H404" s="80"/>
      <c r="I404" s="80"/>
      <c r="J404" s="80"/>
      <c r="K404" s="80"/>
      <c r="L404" s="80"/>
      <c r="M404" s="160"/>
      <c r="N404" s="160"/>
      <c r="O404" s="82"/>
      <c r="P404" s="86"/>
    </row>
    <row r="405" spans="1:16">
      <c r="A405" s="100"/>
      <c r="B405" s="85"/>
      <c r="C405" s="100" t="s">
        <v>86</v>
      </c>
      <c r="D405" s="80"/>
      <c r="E405" s="80"/>
      <c r="F405" s="80"/>
      <c r="G405" s="80"/>
      <c r="H405" s="80"/>
      <c r="I405" s="80"/>
      <c r="J405" s="80"/>
      <c r="K405" s="80"/>
      <c r="L405" s="80"/>
      <c r="M405" s="160"/>
      <c r="N405" s="160"/>
      <c r="O405" s="82"/>
      <c r="P405" s="86"/>
    </row>
    <row r="406" spans="1:16">
      <c r="A406" s="100"/>
      <c r="B406" s="85"/>
      <c r="C406" s="100" t="s">
        <v>87</v>
      </c>
      <c r="D406" s="80"/>
      <c r="E406" s="80"/>
      <c r="F406" s="80"/>
      <c r="G406" s="80"/>
      <c r="H406" s="80"/>
      <c r="I406" s="80"/>
      <c r="J406" s="80"/>
      <c r="K406" s="80"/>
      <c r="L406" s="80"/>
      <c r="M406" s="160"/>
      <c r="N406" s="160"/>
      <c r="O406" s="82"/>
      <c r="P406" s="86"/>
    </row>
    <row r="407" spans="1:16">
      <c r="A407" s="100"/>
      <c r="B407" s="85"/>
      <c r="C407" s="100" t="s">
        <v>88</v>
      </c>
      <c r="D407" s="80"/>
      <c r="E407" s="80"/>
      <c r="F407" s="80"/>
      <c r="G407" s="80"/>
      <c r="H407" s="80"/>
      <c r="I407" s="80"/>
      <c r="J407" s="80"/>
      <c r="K407" s="80"/>
      <c r="L407" s="80"/>
      <c r="M407" s="160"/>
      <c r="N407" s="160"/>
      <c r="O407" s="82"/>
      <c r="P407" s="86"/>
    </row>
    <row r="408" spans="1:16">
      <c r="A408" s="100"/>
      <c r="B408" s="85"/>
      <c r="C408" s="100" t="s">
        <v>89</v>
      </c>
      <c r="D408" s="80"/>
      <c r="E408" s="80"/>
      <c r="F408" s="80"/>
      <c r="G408" s="80"/>
      <c r="H408" s="80"/>
      <c r="I408" s="80"/>
      <c r="J408" s="80"/>
      <c r="K408" s="80"/>
      <c r="L408" s="80"/>
      <c r="M408" s="160"/>
      <c r="N408" s="160"/>
      <c r="O408" s="82"/>
      <c r="P408" s="86"/>
    </row>
    <row r="409" spans="1:16">
      <c r="A409" s="100"/>
      <c r="B409" s="85"/>
      <c r="C409" s="100" t="s">
        <v>90</v>
      </c>
      <c r="D409" s="80"/>
      <c r="E409" s="80"/>
      <c r="F409" s="80"/>
      <c r="G409" s="80"/>
      <c r="H409" s="80"/>
      <c r="I409" s="80"/>
      <c r="J409" s="80"/>
      <c r="K409" s="80"/>
      <c r="L409" s="80"/>
      <c r="M409" s="160"/>
      <c r="N409" s="160"/>
      <c r="O409" s="82"/>
      <c r="P409" s="86"/>
    </row>
    <row r="410" spans="1:16">
      <c r="A410" s="100"/>
      <c r="B410" s="85"/>
      <c r="C410" s="100" t="s">
        <v>91</v>
      </c>
      <c r="D410" s="80"/>
      <c r="E410" s="80"/>
      <c r="F410" s="80"/>
      <c r="G410" s="80"/>
      <c r="H410" s="80"/>
      <c r="I410" s="80"/>
      <c r="J410" s="80"/>
      <c r="K410" s="80"/>
      <c r="L410" s="80"/>
      <c r="M410" s="160"/>
      <c r="N410" s="160"/>
      <c r="O410" s="82"/>
      <c r="P410" s="86"/>
    </row>
    <row r="411" spans="1:16">
      <c r="A411" s="100"/>
      <c r="B411" s="85"/>
      <c r="C411" s="100" t="s">
        <v>92</v>
      </c>
      <c r="D411" s="80"/>
      <c r="E411" s="80"/>
      <c r="F411" s="80"/>
      <c r="G411" s="80"/>
      <c r="H411" s="80"/>
      <c r="I411" s="80"/>
      <c r="J411" s="80"/>
      <c r="K411" s="80"/>
      <c r="L411" s="80"/>
      <c r="M411" s="160"/>
      <c r="N411" s="160"/>
      <c r="O411" s="82"/>
      <c r="P411" s="86"/>
    </row>
    <row r="412" spans="1:16">
      <c r="A412" s="100"/>
      <c r="B412" s="85"/>
      <c r="C412" s="100" t="s">
        <v>95</v>
      </c>
      <c r="D412" s="80"/>
      <c r="E412" s="80"/>
      <c r="F412" s="80"/>
      <c r="G412" s="80"/>
      <c r="H412" s="80"/>
      <c r="I412" s="80"/>
      <c r="J412" s="80"/>
      <c r="K412" s="80"/>
      <c r="L412" s="80"/>
      <c r="M412" s="160"/>
      <c r="N412" s="160"/>
      <c r="O412" s="82"/>
      <c r="P412" s="86"/>
    </row>
    <row r="413" spans="1:16">
      <c r="A413" s="100"/>
      <c r="B413" s="85"/>
      <c r="C413" s="100" t="s">
        <v>96</v>
      </c>
      <c r="D413" s="80"/>
      <c r="E413" s="80"/>
      <c r="F413" s="80"/>
      <c r="G413" s="80"/>
      <c r="H413" s="80"/>
      <c r="I413" s="80"/>
      <c r="J413" s="80"/>
      <c r="K413" s="80"/>
      <c r="L413" s="80"/>
      <c r="M413" s="160"/>
      <c r="N413" s="160"/>
      <c r="O413" s="82"/>
      <c r="P413" s="86"/>
    </row>
    <row r="414" spans="1:16">
      <c r="A414" s="100"/>
      <c r="B414" s="85"/>
      <c r="C414" s="100" t="s">
        <v>93</v>
      </c>
      <c r="D414" s="80"/>
      <c r="E414" s="80"/>
      <c r="F414" s="80"/>
      <c r="G414" s="80"/>
      <c r="H414" s="80"/>
      <c r="I414" s="80"/>
      <c r="J414" s="80"/>
      <c r="K414" s="80"/>
      <c r="L414" s="80"/>
      <c r="M414" s="160"/>
      <c r="N414" s="160"/>
      <c r="O414" s="82"/>
      <c r="P414" s="86"/>
    </row>
    <row r="415" spans="1:16">
      <c r="A415" s="100"/>
      <c r="B415" s="85"/>
      <c r="C415" s="100" t="s">
        <v>97</v>
      </c>
      <c r="D415" s="80"/>
      <c r="E415" s="80"/>
      <c r="F415" s="80"/>
      <c r="G415" s="80"/>
      <c r="H415" s="80"/>
      <c r="I415" s="80"/>
      <c r="J415" s="80"/>
      <c r="K415" s="80"/>
      <c r="L415" s="80"/>
      <c r="M415" s="160"/>
      <c r="N415" s="160"/>
      <c r="O415" s="82"/>
      <c r="P415" s="86"/>
    </row>
    <row r="416" spans="1:16">
      <c r="A416" s="100"/>
      <c r="B416" s="85"/>
      <c r="C416" s="4" t="s">
        <v>136</v>
      </c>
      <c r="D416" s="80"/>
      <c r="E416" s="80"/>
      <c r="F416" s="80"/>
      <c r="G416" s="80"/>
      <c r="H416" s="80"/>
      <c r="I416" s="80"/>
      <c r="J416" s="80"/>
      <c r="K416" s="80"/>
      <c r="L416" s="80"/>
      <c r="M416" s="160"/>
      <c r="N416" s="160"/>
      <c r="O416" s="82"/>
      <c r="P416" s="86"/>
    </row>
    <row r="417" spans="1:16">
      <c r="A417" s="100"/>
      <c r="B417" s="85" t="s">
        <v>164</v>
      </c>
      <c r="C417" s="100" t="s">
        <v>102</v>
      </c>
      <c r="D417" s="80"/>
      <c r="E417" s="80"/>
      <c r="F417" s="80"/>
      <c r="G417" s="80"/>
      <c r="H417" s="80"/>
      <c r="I417" s="80"/>
      <c r="J417" s="80"/>
      <c r="K417" s="80"/>
      <c r="L417" s="80"/>
      <c r="M417" s="160"/>
      <c r="N417" s="160"/>
      <c r="O417" s="82"/>
      <c r="P417" s="86"/>
    </row>
    <row r="418" spans="1:16">
      <c r="A418" s="100"/>
      <c r="B418" s="85"/>
      <c r="C418" s="100" t="s">
        <v>98</v>
      </c>
      <c r="D418" s="80"/>
      <c r="E418" s="80"/>
      <c r="F418" s="80"/>
      <c r="G418" s="80"/>
      <c r="H418" s="80"/>
      <c r="I418" s="80"/>
      <c r="J418" s="80"/>
      <c r="K418" s="80"/>
      <c r="L418" s="80"/>
      <c r="M418" s="160"/>
      <c r="N418" s="160"/>
      <c r="O418" s="82"/>
      <c r="P418" s="86"/>
    </row>
    <row r="419" spans="1:16">
      <c r="A419" s="100"/>
      <c r="B419" s="85"/>
      <c r="C419" s="100" t="s">
        <v>99</v>
      </c>
      <c r="D419" s="80"/>
      <c r="E419" s="80"/>
      <c r="F419" s="80"/>
      <c r="G419" s="80"/>
      <c r="H419" s="80"/>
      <c r="I419" s="80"/>
      <c r="J419" s="80"/>
      <c r="K419" s="80"/>
      <c r="L419" s="80"/>
      <c r="M419" s="160"/>
      <c r="N419" s="160"/>
      <c r="O419" s="82"/>
      <c r="P419" s="86"/>
    </row>
    <row r="420" spans="1:16">
      <c r="A420" s="100"/>
      <c r="B420" s="85"/>
      <c r="C420" s="100" t="s">
        <v>83</v>
      </c>
      <c r="D420" s="80"/>
      <c r="E420" s="80"/>
      <c r="F420" s="80"/>
      <c r="G420" s="80"/>
      <c r="H420" s="80"/>
      <c r="I420" s="80"/>
      <c r="J420" s="80"/>
      <c r="K420" s="80"/>
      <c r="L420" s="80"/>
      <c r="M420" s="160"/>
      <c r="N420" s="160"/>
      <c r="O420" s="82"/>
      <c r="P420" s="86"/>
    </row>
    <row r="421" spans="1:16">
      <c r="A421" s="100"/>
      <c r="B421" s="85"/>
      <c r="C421" s="100" t="s">
        <v>84</v>
      </c>
      <c r="D421" s="80"/>
      <c r="E421" s="80"/>
      <c r="F421" s="80"/>
      <c r="G421" s="80"/>
      <c r="H421" s="80"/>
      <c r="I421" s="80"/>
      <c r="J421" s="80"/>
      <c r="K421" s="80"/>
      <c r="L421" s="80"/>
      <c r="M421" s="160"/>
      <c r="N421" s="160"/>
      <c r="O421" s="82"/>
      <c r="P421" s="86"/>
    </row>
    <row r="422" spans="1:16">
      <c r="A422" s="100"/>
      <c r="B422" s="85"/>
      <c r="C422" s="100" t="s">
        <v>85</v>
      </c>
      <c r="D422" s="80"/>
      <c r="E422" s="80"/>
      <c r="F422" s="80"/>
      <c r="G422" s="80"/>
      <c r="H422" s="80"/>
      <c r="I422" s="80"/>
      <c r="J422" s="80"/>
      <c r="K422" s="80"/>
      <c r="L422" s="80"/>
      <c r="M422" s="160"/>
      <c r="N422" s="160"/>
      <c r="O422" s="82"/>
      <c r="P422" s="86"/>
    </row>
    <row r="423" spans="1:16">
      <c r="A423" s="100"/>
      <c r="B423" s="85"/>
      <c r="C423" s="100" t="s">
        <v>86</v>
      </c>
      <c r="D423" s="80"/>
      <c r="E423" s="80"/>
      <c r="F423" s="80"/>
      <c r="G423" s="80"/>
      <c r="H423" s="80"/>
      <c r="I423" s="80"/>
      <c r="J423" s="80"/>
      <c r="K423" s="80"/>
      <c r="L423" s="80"/>
      <c r="M423" s="160"/>
      <c r="N423" s="160"/>
      <c r="O423" s="82"/>
      <c r="P423" s="86"/>
    </row>
    <row r="424" spans="1:16">
      <c r="A424" s="100"/>
      <c r="B424" s="85"/>
      <c r="C424" s="100" t="s">
        <v>87</v>
      </c>
      <c r="D424" s="80"/>
      <c r="E424" s="80"/>
      <c r="F424" s="80"/>
      <c r="G424" s="80"/>
      <c r="H424" s="80"/>
      <c r="I424" s="80"/>
      <c r="J424" s="80"/>
      <c r="K424" s="80"/>
      <c r="L424" s="80"/>
      <c r="M424" s="160"/>
      <c r="N424" s="160"/>
      <c r="O424" s="82"/>
      <c r="P424" s="86"/>
    </row>
    <row r="425" spans="1:16">
      <c r="A425" s="100"/>
      <c r="B425" s="85"/>
      <c r="C425" s="100" t="s">
        <v>88</v>
      </c>
      <c r="D425" s="80"/>
      <c r="E425" s="80"/>
      <c r="F425" s="80"/>
      <c r="G425" s="80"/>
      <c r="H425" s="80"/>
      <c r="I425" s="80"/>
      <c r="J425" s="80"/>
      <c r="K425" s="80"/>
      <c r="L425" s="80"/>
      <c r="M425" s="160"/>
      <c r="N425" s="160"/>
      <c r="O425" s="82"/>
      <c r="P425" s="86"/>
    </row>
    <row r="426" spans="1:16">
      <c r="A426" s="100"/>
      <c r="B426" s="85"/>
      <c r="C426" s="100" t="s">
        <v>89</v>
      </c>
      <c r="D426" s="80"/>
      <c r="E426" s="80"/>
      <c r="F426" s="80"/>
      <c r="G426" s="80"/>
      <c r="H426" s="80"/>
      <c r="I426" s="80"/>
      <c r="J426" s="80"/>
      <c r="K426" s="80"/>
      <c r="L426" s="80"/>
      <c r="M426" s="160"/>
      <c r="N426" s="160"/>
      <c r="O426" s="82"/>
      <c r="P426" s="86"/>
    </row>
    <row r="427" spans="1:16">
      <c r="A427" s="100"/>
      <c r="B427" s="85"/>
      <c r="C427" s="100" t="s">
        <v>90</v>
      </c>
      <c r="D427" s="80"/>
      <c r="E427" s="80"/>
      <c r="F427" s="80"/>
      <c r="G427" s="80"/>
      <c r="H427" s="80"/>
      <c r="I427" s="80"/>
      <c r="J427" s="80"/>
      <c r="K427" s="80"/>
      <c r="L427" s="80"/>
      <c r="M427" s="160"/>
      <c r="N427" s="160"/>
      <c r="O427" s="82"/>
      <c r="P427" s="86"/>
    </row>
    <row r="428" spans="1:16">
      <c r="A428" s="100"/>
      <c r="B428" s="85"/>
      <c r="C428" s="100" t="s">
        <v>91</v>
      </c>
      <c r="D428" s="80"/>
      <c r="E428" s="80"/>
      <c r="F428" s="80"/>
      <c r="G428" s="80"/>
      <c r="H428" s="80"/>
      <c r="I428" s="80"/>
      <c r="J428" s="80"/>
      <c r="K428" s="80"/>
      <c r="L428" s="80"/>
      <c r="M428" s="160"/>
      <c r="N428" s="160"/>
      <c r="O428" s="82"/>
      <c r="P428" s="86"/>
    </row>
    <row r="429" spans="1:16">
      <c r="A429" s="100"/>
      <c r="B429" s="85"/>
      <c r="C429" s="100" t="s">
        <v>92</v>
      </c>
      <c r="D429" s="80"/>
      <c r="E429" s="80"/>
      <c r="F429" s="80"/>
      <c r="G429" s="80"/>
      <c r="H429" s="80"/>
      <c r="I429" s="80"/>
      <c r="J429" s="80"/>
      <c r="K429" s="80"/>
      <c r="L429" s="80"/>
      <c r="M429" s="160"/>
      <c r="N429" s="160"/>
      <c r="O429" s="82"/>
      <c r="P429" s="86"/>
    </row>
    <row r="430" spans="1:16">
      <c r="A430" s="100"/>
      <c r="B430" s="85"/>
      <c r="C430" s="100" t="s">
        <v>95</v>
      </c>
      <c r="D430" s="80"/>
      <c r="E430" s="80"/>
      <c r="F430" s="80"/>
      <c r="G430" s="80"/>
      <c r="H430" s="80"/>
      <c r="I430" s="80"/>
      <c r="J430" s="80"/>
      <c r="K430" s="80"/>
      <c r="L430" s="80"/>
      <c r="M430" s="160"/>
      <c r="N430" s="160"/>
      <c r="O430" s="82"/>
      <c r="P430" s="86"/>
    </row>
    <row r="431" spans="1:16">
      <c r="A431" s="100"/>
      <c r="B431" s="85"/>
      <c r="C431" s="100" t="s">
        <v>96</v>
      </c>
      <c r="D431" s="80"/>
      <c r="E431" s="80"/>
      <c r="F431" s="80"/>
      <c r="G431" s="80"/>
      <c r="H431" s="80"/>
      <c r="I431" s="80"/>
      <c r="J431" s="80"/>
      <c r="K431" s="80"/>
      <c r="L431" s="80"/>
      <c r="M431" s="160"/>
      <c r="N431" s="160"/>
      <c r="O431" s="82"/>
      <c r="P431" s="86"/>
    </row>
    <row r="432" spans="1:16">
      <c r="A432" s="100"/>
      <c r="B432" s="85"/>
      <c r="C432" s="100" t="s">
        <v>93</v>
      </c>
      <c r="D432" s="80"/>
      <c r="E432" s="80"/>
      <c r="F432" s="80"/>
      <c r="G432" s="80"/>
      <c r="H432" s="80"/>
      <c r="I432" s="80"/>
      <c r="J432" s="80"/>
      <c r="K432" s="80"/>
      <c r="L432" s="80"/>
      <c r="M432" s="160"/>
      <c r="N432" s="160"/>
      <c r="O432" s="82"/>
      <c r="P432" s="86"/>
    </row>
    <row r="433" spans="1:16">
      <c r="A433" s="100"/>
      <c r="B433" s="85"/>
      <c r="C433" s="100" t="s">
        <v>97</v>
      </c>
      <c r="D433" s="80"/>
      <c r="E433" s="80"/>
      <c r="F433" s="80"/>
      <c r="G433" s="80"/>
      <c r="H433" s="80"/>
      <c r="I433" s="80"/>
      <c r="J433" s="80"/>
      <c r="K433" s="80"/>
      <c r="L433" s="80"/>
      <c r="M433" s="160"/>
      <c r="N433" s="160"/>
      <c r="O433" s="82"/>
      <c r="P433" s="86"/>
    </row>
    <row r="434" spans="1:16">
      <c r="A434" s="100"/>
      <c r="B434" s="85"/>
      <c r="C434" s="4" t="s">
        <v>136</v>
      </c>
      <c r="D434" s="80"/>
      <c r="E434" s="80"/>
      <c r="F434" s="80"/>
      <c r="G434" s="80"/>
      <c r="H434" s="80"/>
      <c r="I434" s="80"/>
      <c r="J434" s="80"/>
      <c r="K434" s="80"/>
      <c r="L434" s="80"/>
      <c r="M434" s="160"/>
      <c r="N434" s="160"/>
      <c r="O434" s="82"/>
      <c r="P434" s="86"/>
    </row>
    <row r="435" spans="1:16">
      <c r="A435" s="100"/>
      <c r="B435" s="85" t="s">
        <v>165</v>
      </c>
      <c r="C435" s="100" t="s">
        <v>102</v>
      </c>
      <c r="D435" s="80"/>
      <c r="E435" s="80"/>
      <c r="F435" s="80"/>
      <c r="G435" s="80"/>
      <c r="H435" s="80"/>
      <c r="I435" s="80"/>
      <c r="J435" s="80"/>
      <c r="K435" s="80"/>
      <c r="L435" s="80"/>
      <c r="M435" s="160"/>
      <c r="N435" s="160"/>
      <c r="O435" s="82"/>
      <c r="P435" s="86"/>
    </row>
    <row r="436" spans="1:16">
      <c r="A436" s="100"/>
      <c r="B436" s="85"/>
      <c r="C436" s="100" t="s">
        <v>98</v>
      </c>
      <c r="D436" s="80"/>
      <c r="E436" s="80"/>
      <c r="F436" s="80"/>
      <c r="G436" s="80"/>
      <c r="H436" s="80"/>
      <c r="I436" s="80"/>
      <c r="J436" s="80"/>
      <c r="K436" s="80"/>
      <c r="L436" s="80"/>
      <c r="M436" s="160"/>
      <c r="N436" s="160"/>
      <c r="O436" s="82"/>
      <c r="P436" s="86"/>
    </row>
    <row r="437" spans="1:16">
      <c r="A437" s="100"/>
      <c r="B437" s="85"/>
      <c r="C437" s="100" t="s">
        <v>99</v>
      </c>
      <c r="D437" s="80"/>
      <c r="E437" s="80"/>
      <c r="F437" s="80"/>
      <c r="G437" s="80"/>
      <c r="H437" s="80"/>
      <c r="I437" s="80"/>
      <c r="J437" s="80"/>
      <c r="K437" s="80"/>
      <c r="L437" s="80"/>
      <c r="M437" s="160"/>
      <c r="N437" s="160"/>
      <c r="O437" s="82"/>
      <c r="P437" s="86"/>
    </row>
    <row r="438" spans="1:16">
      <c r="A438" s="100"/>
      <c r="B438" s="85"/>
      <c r="C438" s="100" t="s">
        <v>83</v>
      </c>
      <c r="D438" s="80"/>
      <c r="E438" s="80"/>
      <c r="F438" s="80"/>
      <c r="G438" s="80"/>
      <c r="H438" s="80"/>
      <c r="I438" s="80"/>
      <c r="J438" s="80"/>
      <c r="K438" s="80"/>
      <c r="L438" s="80"/>
      <c r="M438" s="160"/>
      <c r="N438" s="160"/>
      <c r="O438" s="82"/>
      <c r="P438" s="86"/>
    </row>
    <row r="439" spans="1:16">
      <c r="A439" s="100"/>
      <c r="B439" s="85"/>
      <c r="C439" s="100" t="s">
        <v>84</v>
      </c>
      <c r="D439" s="80"/>
      <c r="E439" s="80"/>
      <c r="F439" s="80"/>
      <c r="G439" s="80"/>
      <c r="H439" s="80"/>
      <c r="I439" s="80"/>
      <c r="J439" s="80"/>
      <c r="K439" s="80"/>
      <c r="L439" s="80"/>
      <c r="M439" s="160"/>
      <c r="N439" s="160"/>
      <c r="O439" s="82"/>
      <c r="P439" s="86"/>
    </row>
    <row r="440" spans="1:16">
      <c r="A440" s="100"/>
      <c r="B440" s="85"/>
      <c r="C440" s="100" t="s">
        <v>85</v>
      </c>
      <c r="D440" s="80"/>
      <c r="E440" s="80"/>
      <c r="F440" s="80"/>
      <c r="G440" s="80"/>
      <c r="H440" s="80"/>
      <c r="I440" s="80"/>
      <c r="J440" s="80"/>
      <c r="K440" s="80"/>
      <c r="L440" s="80"/>
      <c r="M440" s="160"/>
      <c r="N440" s="160"/>
      <c r="O440" s="82"/>
      <c r="P440" s="86"/>
    </row>
    <row r="441" spans="1:16">
      <c r="A441" s="100"/>
      <c r="B441" s="85"/>
      <c r="C441" s="100" t="s">
        <v>86</v>
      </c>
      <c r="D441" s="80"/>
      <c r="E441" s="80"/>
      <c r="F441" s="80"/>
      <c r="G441" s="80"/>
      <c r="H441" s="80"/>
      <c r="I441" s="80"/>
      <c r="J441" s="80"/>
      <c r="K441" s="80"/>
      <c r="L441" s="80"/>
      <c r="M441" s="160"/>
      <c r="N441" s="160"/>
      <c r="O441" s="82"/>
      <c r="P441" s="86"/>
    </row>
    <row r="442" spans="1:16">
      <c r="A442" s="100"/>
      <c r="B442" s="85"/>
      <c r="C442" s="100" t="s">
        <v>87</v>
      </c>
      <c r="D442" s="80"/>
      <c r="E442" s="80"/>
      <c r="F442" s="80"/>
      <c r="G442" s="80"/>
      <c r="H442" s="80"/>
      <c r="I442" s="80"/>
      <c r="J442" s="80"/>
      <c r="K442" s="80"/>
      <c r="L442" s="80"/>
      <c r="M442" s="160"/>
      <c r="N442" s="160"/>
      <c r="O442" s="82"/>
      <c r="P442" s="86"/>
    </row>
    <row r="443" spans="1:16">
      <c r="A443" s="100"/>
      <c r="B443" s="85"/>
      <c r="C443" s="100" t="s">
        <v>88</v>
      </c>
      <c r="D443" s="80"/>
      <c r="E443" s="80"/>
      <c r="F443" s="80"/>
      <c r="G443" s="80"/>
      <c r="H443" s="80"/>
      <c r="I443" s="80"/>
      <c r="J443" s="80"/>
      <c r="K443" s="80"/>
      <c r="L443" s="80"/>
      <c r="M443" s="160"/>
      <c r="N443" s="160"/>
      <c r="O443" s="82"/>
      <c r="P443" s="86"/>
    </row>
    <row r="444" spans="1:16">
      <c r="A444" s="100"/>
      <c r="B444" s="85"/>
      <c r="C444" s="100" t="s">
        <v>89</v>
      </c>
      <c r="D444" s="80"/>
      <c r="E444" s="80"/>
      <c r="F444" s="80"/>
      <c r="G444" s="80"/>
      <c r="H444" s="80"/>
      <c r="I444" s="80"/>
      <c r="J444" s="80"/>
      <c r="K444" s="80"/>
      <c r="L444" s="80"/>
      <c r="M444" s="160"/>
      <c r="N444" s="160"/>
      <c r="O444" s="82"/>
      <c r="P444" s="86"/>
    </row>
    <row r="445" spans="1:16">
      <c r="A445" s="100"/>
      <c r="B445" s="85"/>
      <c r="C445" s="100" t="s">
        <v>90</v>
      </c>
      <c r="D445" s="80"/>
      <c r="E445" s="80"/>
      <c r="F445" s="80"/>
      <c r="G445" s="80"/>
      <c r="H445" s="80"/>
      <c r="I445" s="80"/>
      <c r="J445" s="80"/>
      <c r="K445" s="80"/>
      <c r="L445" s="80"/>
      <c r="M445" s="160"/>
      <c r="N445" s="160"/>
      <c r="O445" s="82"/>
      <c r="P445" s="86"/>
    </row>
    <row r="446" spans="1:16">
      <c r="A446" s="100"/>
      <c r="B446" s="85"/>
      <c r="C446" s="100" t="s">
        <v>91</v>
      </c>
      <c r="D446" s="80"/>
      <c r="E446" s="80"/>
      <c r="F446" s="80"/>
      <c r="G446" s="80"/>
      <c r="H446" s="80"/>
      <c r="I446" s="80"/>
      <c r="J446" s="80"/>
      <c r="K446" s="80"/>
      <c r="L446" s="80"/>
      <c r="M446" s="160"/>
      <c r="N446" s="160"/>
      <c r="O446" s="82"/>
      <c r="P446" s="86"/>
    </row>
    <row r="447" spans="1:16">
      <c r="A447" s="100"/>
      <c r="B447" s="85"/>
      <c r="C447" s="100" t="s">
        <v>92</v>
      </c>
      <c r="D447" s="80"/>
      <c r="E447" s="80"/>
      <c r="F447" s="80"/>
      <c r="G447" s="80"/>
      <c r="H447" s="80"/>
      <c r="I447" s="80"/>
      <c r="J447" s="80"/>
      <c r="K447" s="80"/>
      <c r="L447" s="80"/>
      <c r="M447" s="160"/>
      <c r="N447" s="160"/>
      <c r="O447" s="82"/>
      <c r="P447" s="86"/>
    </row>
    <row r="448" spans="1:16">
      <c r="A448" s="100"/>
      <c r="B448" s="85"/>
      <c r="C448" s="100" t="s">
        <v>95</v>
      </c>
      <c r="D448" s="80"/>
      <c r="E448" s="80"/>
      <c r="F448" s="80"/>
      <c r="G448" s="80"/>
      <c r="H448" s="80"/>
      <c r="I448" s="80"/>
      <c r="J448" s="80"/>
      <c r="K448" s="80"/>
      <c r="L448" s="80"/>
      <c r="M448" s="160"/>
      <c r="N448" s="160"/>
      <c r="O448" s="82"/>
      <c r="P448" s="86"/>
    </row>
    <row r="449" spans="1:16">
      <c r="A449" s="100"/>
      <c r="B449" s="85"/>
      <c r="C449" s="100" t="s">
        <v>96</v>
      </c>
      <c r="D449" s="80"/>
      <c r="E449" s="80"/>
      <c r="F449" s="80"/>
      <c r="G449" s="80"/>
      <c r="H449" s="80"/>
      <c r="I449" s="80"/>
      <c r="J449" s="80"/>
      <c r="K449" s="80"/>
      <c r="L449" s="80"/>
      <c r="M449" s="160"/>
      <c r="N449" s="160"/>
      <c r="O449" s="82"/>
      <c r="P449" s="86"/>
    </row>
    <row r="450" spans="1:16">
      <c r="A450" s="100"/>
      <c r="B450" s="85"/>
      <c r="C450" s="100" t="s">
        <v>93</v>
      </c>
      <c r="D450" s="80"/>
      <c r="E450" s="80"/>
      <c r="F450" s="80"/>
      <c r="G450" s="80"/>
      <c r="H450" s="80"/>
      <c r="I450" s="80"/>
      <c r="J450" s="80"/>
      <c r="K450" s="80"/>
      <c r="L450" s="80"/>
      <c r="M450" s="160"/>
      <c r="N450" s="160"/>
      <c r="O450" s="82"/>
      <c r="P450" s="86"/>
    </row>
    <row r="451" spans="1:16">
      <c r="A451" s="100"/>
      <c r="B451" s="85"/>
      <c r="C451" s="100" t="s">
        <v>97</v>
      </c>
      <c r="D451" s="80"/>
      <c r="E451" s="80"/>
      <c r="F451" s="80"/>
      <c r="G451" s="80"/>
      <c r="H451" s="80"/>
      <c r="I451" s="80"/>
      <c r="J451" s="80"/>
      <c r="K451" s="80"/>
      <c r="L451" s="80"/>
      <c r="M451" s="160"/>
      <c r="N451" s="160"/>
      <c r="O451" s="82"/>
      <c r="P451" s="86"/>
    </row>
    <row r="452" spans="1:16">
      <c r="A452" s="100"/>
      <c r="B452" s="85"/>
      <c r="C452" s="4" t="s">
        <v>136</v>
      </c>
      <c r="D452" s="80"/>
      <c r="E452" s="80"/>
      <c r="F452" s="80"/>
      <c r="G452" s="80"/>
      <c r="H452" s="80"/>
      <c r="I452" s="80"/>
      <c r="J452" s="80"/>
      <c r="K452" s="80"/>
      <c r="L452" s="80"/>
      <c r="M452" s="160"/>
      <c r="N452" s="160"/>
      <c r="O452" s="82"/>
      <c r="P452" s="86"/>
    </row>
    <row r="453" spans="1:16">
      <c r="A453" s="100"/>
      <c r="B453" s="85" t="s">
        <v>166</v>
      </c>
      <c r="C453" s="100" t="s">
        <v>102</v>
      </c>
      <c r="D453" s="80"/>
      <c r="E453" s="80"/>
      <c r="F453" s="80"/>
      <c r="G453" s="80"/>
      <c r="H453" s="80"/>
      <c r="I453" s="80"/>
      <c r="J453" s="80"/>
      <c r="K453" s="80"/>
      <c r="L453" s="80"/>
      <c r="M453" s="160"/>
      <c r="N453" s="160"/>
      <c r="O453" s="82"/>
      <c r="P453" s="86"/>
    </row>
    <row r="454" spans="1:16">
      <c r="A454" s="100"/>
      <c r="B454" s="85"/>
      <c r="C454" s="100" t="s">
        <v>98</v>
      </c>
      <c r="D454" s="80"/>
      <c r="E454" s="80"/>
      <c r="F454" s="80"/>
      <c r="G454" s="80"/>
      <c r="H454" s="80"/>
      <c r="I454" s="80"/>
      <c r="J454" s="80"/>
      <c r="K454" s="80"/>
      <c r="L454" s="80"/>
      <c r="M454" s="160"/>
      <c r="N454" s="160"/>
      <c r="O454" s="82"/>
      <c r="P454" s="86"/>
    </row>
    <row r="455" spans="1:16">
      <c r="A455" s="100"/>
      <c r="B455" s="85"/>
      <c r="C455" s="100" t="s">
        <v>99</v>
      </c>
      <c r="D455" s="80"/>
      <c r="E455" s="80"/>
      <c r="F455" s="80"/>
      <c r="G455" s="80"/>
      <c r="H455" s="80"/>
      <c r="I455" s="80"/>
      <c r="J455" s="80"/>
      <c r="K455" s="80"/>
      <c r="L455" s="80"/>
      <c r="M455" s="160"/>
      <c r="N455" s="160"/>
      <c r="O455" s="82"/>
      <c r="P455" s="86"/>
    </row>
    <row r="456" spans="1:16">
      <c r="A456" s="100"/>
      <c r="B456" s="85"/>
      <c r="C456" s="100" t="s">
        <v>83</v>
      </c>
      <c r="D456" s="80"/>
      <c r="E456" s="80"/>
      <c r="F456" s="80"/>
      <c r="G456" s="80"/>
      <c r="H456" s="80"/>
      <c r="I456" s="80"/>
      <c r="J456" s="80"/>
      <c r="K456" s="80"/>
      <c r="L456" s="80"/>
      <c r="M456" s="160"/>
      <c r="N456" s="160"/>
      <c r="O456" s="82"/>
      <c r="P456" s="86"/>
    </row>
    <row r="457" spans="1:16">
      <c r="A457" s="100"/>
      <c r="B457" s="85"/>
      <c r="C457" s="100" t="s">
        <v>84</v>
      </c>
      <c r="D457" s="80"/>
      <c r="E457" s="80"/>
      <c r="F457" s="80"/>
      <c r="G457" s="80"/>
      <c r="H457" s="80"/>
      <c r="I457" s="80"/>
      <c r="J457" s="80"/>
      <c r="K457" s="80"/>
      <c r="L457" s="80"/>
      <c r="M457" s="160"/>
      <c r="N457" s="160"/>
      <c r="O457" s="82"/>
      <c r="P457" s="86"/>
    </row>
    <row r="458" spans="1:16">
      <c r="A458" s="100"/>
      <c r="B458" s="85"/>
      <c r="C458" s="100" t="s">
        <v>85</v>
      </c>
      <c r="D458" s="80"/>
      <c r="E458" s="80"/>
      <c r="F458" s="80"/>
      <c r="G458" s="80"/>
      <c r="H458" s="80"/>
      <c r="I458" s="80"/>
      <c r="J458" s="80"/>
      <c r="K458" s="80"/>
      <c r="L458" s="80"/>
      <c r="M458" s="160"/>
      <c r="N458" s="160"/>
      <c r="O458" s="82"/>
      <c r="P458" s="86"/>
    </row>
    <row r="459" spans="1:16">
      <c r="A459" s="100"/>
      <c r="B459" s="85"/>
      <c r="C459" s="100" t="s">
        <v>86</v>
      </c>
      <c r="D459" s="80"/>
      <c r="E459" s="80"/>
      <c r="F459" s="80"/>
      <c r="G459" s="80"/>
      <c r="H459" s="80"/>
      <c r="I459" s="80"/>
      <c r="J459" s="80"/>
      <c r="K459" s="80"/>
      <c r="L459" s="80"/>
      <c r="M459" s="160"/>
      <c r="N459" s="160"/>
      <c r="O459" s="82"/>
      <c r="P459" s="86"/>
    </row>
    <row r="460" spans="1:16">
      <c r="A460" s="100"/>
      <c r="B460" s="85"/>
      <c r="C460" s="100" t="s">
        <v>87</v>
      </c>
      <c r="D460" s="80"/>
      <c r="E460" s="80"/>
      <c r="F460" s="80"/>
      <c r="G460" s="80"/>
      <c r="H460" s="80"/>
      <c r="I460" s="80"/>
      <c r="J460" s="80"/>
      <c r="K460" s="80"/>
      <c r="L460" s="80"/>
      <c r="M460" s="160"/>
      <c r="N460" s="160"/>
      <c r="O460" s="82"/>
      <c r="P460" s="86"/>
    </row>
    <row r="461" spans="1:16">
      <c r="A461" s="100"/>
      <c r="B461" s="85"/>
      <c r="C461" s="100" t="s">
        <v>88</v>
      </c>
      <c r="D461" s="80"/>
      <c r="E461" s="80"/>
      <c r="F461" s="80"/>
      <c r="G461" s="80"/>
      <c r="H461" s="80"/>
      <c r="I461" s="80"/>
      <c r="J461" s="80"/>
      <c r="K461" s="80"/>
      <c r="L461" s="80"/>
      <c r="M461" s="160"/>
      <c r="N461" s="160"/>
      <c r="O461" s="82"/>
      <c r="P461" s="86"/>
    </row>
    <row r="462" spans="1:16">
      <c r="A462" s="100"/>
      <c r="B462" s="85"/>
      <c r="C462" s="100" t="s">
        <v>89</v>
      </c>
      <c r="D462" s="80"/>
      <c r="E462" s="80"/>
      <c r="F462" s="80"/>
      <c r="G462" s="80"/>
      <c r="H462" s="80"/>
      <c r="I462" s="80"/>
      <c r="J462" s="80"/>
      <c r="K462" s="80"/>
      <c r="L462" s="80"/>
      <c r="M462" s="160"/>
      <c r="N462" s="160"/>
      <c r="O462" s="82"/>
      <c r="P462" s="86"/>
    </row>
    <row r="463" spans="1:16">
      <c r="A463" s="100"/>
      <c r="B463" s="85"/>
      <c r="C463" s="100" t="s">
        <v>90</v>
      </c>
      <c r="D463" s="80"/>
      <c r="E463" s="80"/>
      <c r="F463" s="80"/>
      <c r="G463" s="80"/>
      <c r="H463" s="80"/>
      <c r="I463" s="80"/>
      <c r="J463" s="80"/>
      <c r="K463" s="80"/>
      <c r="L463" s="80"/>
      <c r="M463" s="160"/>
      <c r="N463" s="160"/>
      <c r="O463" s="82"/>
      <c r="P463" s="86"/>
    </row>
    <row r="464" spans="1:16">
      <c r="A464" s="100"/>
      <c r="B464" s="85"/>
      <c r="C464" s="100" t="s">
        <v>91</v>
      </c>
      <c r="D464" s="80"/>
      <c r="E464" s="80"/>
      <c r="F464" s="80"/>
      <c r="G464" s="80"/>
      <c r="H464" s="80"/>
      <c r="I464" s="80"/>
      <c r="J464" s="80"/>
      <c r="K464" s="80"/>
      <c r="L464" s="80"/>
      <c r="M464" s="160"/>
      <c r="N464" s="160"/>
      <c r="O464" s="82"/>
      <c r="P464" s="86"/>
    </row>
    <row r="465" spans="1:16">
      <c r="A465" s="100"/>
      <c r="B465" s="85"/>
      <c r="C465" s="100" t="s">
        <v>92</v>
      </c>
      <c r="D465" s="80"/>
      <c r="E465" s="80"/>
      <c r="F465" s="80"/>
      <c r="G465" s="80"/>
      <c r="H465" s="80"/>
      <c r="I465" s="80"/>
      <c r="J465" s="80"/>
      <c r="K465" s="80"/>
      <c r="L465" s="80"/>
      <c r="M465" s="160"/>
      <c r="N465" s="160"/>
      <c r="O465" s="82"/>
      <c r="P465" s="86"/>
    </row>
    <row r="466" spans="1:16">
      <c r="A466" s="100"/>
      <c r="B466" s="85"/>
      <c r="C466" s="100" t="s">
        <v>95</v>
      </c>
      <c r="D466" s="80"/>
      <c r="E466" s="80"/>
      <c r="F466" s="80"/>
      <c r="G466" s="80"/>
      <c r="H466" s="80"/>
      <c r="I466" s="80"/>
      <c r="J466" s="80"/>
      <c r="K466" s="80"/>
      <c r="L466" s="80"/>
      <c r="M466" s="160"/>
      <c r="N466" s="160"/>
      <c r="O466" s="82"/>
      <c r="P466" s="86"/>
    </row>
    <row r="467" spans="1:16">
      <c r="A467" s="100"/>
      <c r="B467" s="85"/>
      <c r="C467" s="100" t="s">
        <v>96</v>
      </c>
      <c r="D467" s="80"/>
      <c r="E467" s="80"/>
      <c r="F467" s="80"/>
      <c r="G467" s="80"/>
      <c r="H467" s="80"/>
      <c r="I467" s="80"/>
      <c r="J467" s="80"/>
      <c r="K467" s="80"/>
      <c r="L467" s="80"/>
      <c r="M467" s="160"/>
      <c r="N467" s="160"/>
      <c r="O467" s="82"/>
      <c r="P467" s="86"/>
    </row>
    <row r="468" spans="1:16">
      <c r="A468" s="100"/>
      <c r="B468" s="85"/>
      <c r="C468" s="100" t="s">
        <v>93</v>
      </c>
      <c r="D468" s="80"/>
      <c r="E468" s="80"/>
      <c r="F468" s="80"/>
      <c r="G468" s="80"/>
      <c r="H468" s="80"/>
      <c r="I468" s="80"/>
      <c r="J468" s="80"/>
      <c r="K468" s="80"/>
      <c r="L468" s="80"/>
      <c r="M468" s="160"/>
      <c r="N468" s="160"/>
      <c r="O468" s="82"/>
      <c r="P468" s="86"/>
    </row>
    <row r="469" spans="1:16">
      <c r="A469" s="100"/>
      <c r="B469" s="85"/>
      <c r="C469" s="100" t="s">
        <v>97</v>
      </c>
      <c r="D469" s="80"/>
      <c r="E469" s="80"/>
      <c r="F469" s="80"/>
      <c r="G469" s="80"/>
      <c r="H469" s="80"/>
      <c r="I469" s="80"/>
      <c r="J469" s="80"/>
      <c r="K469" s="80"/>
      <c r="L469" s="80"/>
      <c r="M469" s="160"/>
      <c r="N469" s="160"/>
      <c r="O469" s="82"/>
      <c r="P469" s="86"/>
    </row>
    <row r="470" spans="1:16">
      <c r="A470" s="100"/>
      <c r="B470" s="85"/>
      <c r="C470" s="4" t="s">
        <v>136</v>
      </c>
      <c r="D470" s="80"/>
      <c r="E470" s="80"/>
      <c r="F470" s="80"/>
      <c r="G470" s="80"/>
      <c r="H470" s="80"/>
      <c r="I470" s="80"/>
      <c r="J470" s="80"/>
      <c r="K470" s="80"/>
      <c r="L470" s="80"/>
      <c r="M470" s="160"/>
      <c r="N470" s="160"/>
      <c r="O470" s="82"/>
      <c r="P470" s="86"/>
    </row>
    <row r="471" spans="1:16">
      <c r="A471" s="100"/>
      <c r="B471" s="85" t="s">
        <v>167</v>
      </c>
      <c r="C471" s="100" t="s">
        <v>102</v>
      </c>
      <c r="D471" s="80"/>
      <c r="E471" s="80"/>
      <c r="F471" s="80"/>
      <c r="G471" s="80"/>
      <c r="H471" s="80"/>
      <c r="I471" s="80"/>
      <c r="J471" s="80"/>
      <c r="K471" s="80"/>
      <c r="L471" s="80"/>
      <c r="M471" s="160"/>
      <c r="N471" s="160"/>
      <c r="O471" s="82"/>
      <c r="P471" s="86"/>
    </row>
    <row r="472" spans="1:16">
      <c r="A472" s="100"/>
      <c r="B472" s="85"/>
      <c r="C472" s="100" t="s">
        <v>98</v>
      </c>
      <c r="D472" s="80"/>
      <c r="E472" s="80"/>
      <c r="F472" s="80"/>
      <c r="G472" s="80"/>
      <c r="H472" s="80"/>
      <c r="I472" s="80"/>
      <c r="J472" s="80"/>
      <c r="K472" s="80"/>
      <c r="L472" s="80"/>
      <c r="M472" s="160"/>
      <c r="N472" s="160"/>
      <c r="O472" s="82"/>
      <c r="P472" s="86"/>
    </row>
    <row r="473" spans="1:16">
      <c r="A473" s="100"/>
      <c r="B473" s="85"/>
      <c r="C473" s="100" t="s">
        <v>99</v>
      </c>
      <c r="D473" s="80"/>
      <c r="E473" s="80"/>
      <c r="F473" s="80"/>
      <c r="G473" s="80"/>
      <c r="H473" s="80"/>
      <c r="I473" s="80"/>
      <c r="J473" s="80"/>
      <c r="K473" s="80"/>
      <c r="L473" s="80"/>
      <c r="M473" s="160"/>
      <c r="N473" s="160"/>
      <c r="O473" s="82"/>
      <c r="P473" s="86"/>
    </row>
    <row r="474" spans="1:16">
      <c r="A474" s="100"/>
      <c r="B474" s="85"/>
      <c r="C474" s="100" t="s">
        <v>83</v>
      </c>
      <c r="D474" s="80"/>
      <c r="E474" s="80"/>
      <c r="F474" s="80"/>
      <c r="G474" s="80"/>
      <c r="H474" s="80"/>
      <c r="I474" s="80"/>
      <c r="J474" s="80"/>
      <c r="K474" s="80"/>
      <c r="L474" s="80"/>
      <c r="M474" s="160"/>
      <c r="N474" s="160"/>
      <c r="O474" s="82"/>
      <c r="P474" s="86"/>
    </row>
    <row r="475" spans="1:16">
      <c r="A475" s="100"/>
      <c r="B475" s="85"/>
      <c r="C475" s="100" t="s">
        <v>84</v>
      </c>
      <c r="D475" s="80"/>
      <c r="E475" s="80"/>
      <c r="F475" s="80"/>
      <c r="G475" s="80"/>
      <c r="H475" s="80"/>
      <c r="I475" s="80"/>
      <c r="J475" s="80"/>
      <c r="K475" s="80"/>
      <c r="L475" s="80"/>
      <c r="M475" s="160"/>
      <c r="N475" s="160"/>
      <c r="O475" s="82"/>
      <c r="P475" s="86"/>
    </row>
    <row r="476" spans="1:16">
      <c r="A476" s="100"/>
      <c r="B476" s="85"/>
      <c r="C476" s="100" t="s">
        <v>85</v>
      </c>
      <c r="D476" s="80"/>
      <c r="E476" s="80"/>
      <c r="F476" s="80"/>
      <c r="G476" s="80"/>
      <c r="H476" s="80"/>
      <c r="I476" s="80"/>
      <c r="J476" s="80"/>
      <c r="K476" s="80"/>
      <c r="L476" s="80"/>
      <c r="M476" s="160"/>
      <c r="N476" s="160"/>
      <c r="O476" s="82"/>
      <c r="P476" s="86"/>
    </row>
    <row r="477" spans="1:16">
      <c r="A477" s="100"/>
      <c r="B477" s="85"/>
      <c r="C477" s="100" t="s">
        <v>86</v>
      </c>
      <c r="D477" s="80"/>
      <c r="E477" s="80"/>
      <c r="F477" s="80"/>
      <c r="G477" s="80"/>
      <c r="H477" s="80"/>
      <c r="I477" s="80"/>
      <c r="J477" s="80"/>
      <c r="K477" s="80"/>
      <c r="L477" s="80"/>
      <c r="M477" s="160"/>
      <c r="N477" s="160"/>
      <c r="O477" s="82"/>
      <c r="P477" s="86"/>
    </row>
    <row r="478" spans="1:16">
      <c r="A478" s="100"/>
      <c r="B478" s="85"/>
      <c r="C478" s="100" t="s">
        <v>87</v>
      </c>
      <c r="D478" s="80"/>
      <c r="E478" s="80"/>
      <c r="F478" s="80"/>
      <c r="G478" s="80"/>
      <c r="H478" s="80"/>
      <c r="I478" s="80"/>
      <c r="J478" s="80"/>
      <c r="K478" s="80"/>
      <c r="L478" s="80"/>
      <c r="M478" s="160"/>
      <c r="N478" s="160"/>
      <c r="O478" s="82"/>
      <c r="P478" s="86"/>
    </row>
    <row r="479" spans="1:16">
      <c r="A479" s="100"/>
      <c r="B479" s="85"/>
      <c r="C479" s="100" t="s">
        <v>88</v>
      </c>
      <c r="D479" s="80"/>
      <c r="E479" s="80"/>
      <c r="F479" s="80"/>
      <c r="G479" s="80"/>
      <c r="H479" s="80"/>
      <c r="I479" s="80"/>
      <c r="J479" s="80"/>
      <c r="K479" s="80"/>
      <c r="L479" s="80"/>
      <c r="M479" s="160"/>
      <c r="N479" s="160"/>
      <c r="O479" s="82"/>
      <c r="P479" s="86"/>
    </row>
    <row r="480" spans="1:16">
      <c r="A480" s="100"/>
      <c r="B480" s="85"/>
      <c r="C480" s="100" t="s">
        <v>89</v>
      </c>
      <c r="D480" s="80"/>
      <c r="E480" s="80"/>
      <c r="F480" s="80"/>
      <c r="G480" s="80"/>
      <c r="H480" s="80"/>
      <c r="I480" s="80"/>
      <c r="J480" s="80"/>
      <c r="K480" s="80"/>
      <c r="L480" s="80"/>
      <c r="M480" s="160"/>
      <c r="N480" s="160"/>
      <c r="O480" s="82"/>
      <c r="P480" s="86"/>
    </row>
    <row r="481" spans="1:16">
      <c r="A481" s="100"/>
      <c r="B481" s="85"/>
      <c r="C481" s="100" t="s">
        <v>90</v>
      </c>
      <c r="D481" s="80"/>
      <c r="E481" s="80"/>
      <c r="F481" s="80"/>
      <c r="G481" s="80"/>
      <c r="H481" s="80"/>
      <c r="I481" s="80"/>
      <c r="J481" s="80"/>
      <c r="K481" s="80"/>
      <c r="L481" s="80"/>
      <c r="M481" s="160"/>
      <c r="N481" s="160"/>
      <c r="O481" s="82"/>
      <c r="P481" s="86"/>
    </row>
    <row r="482" spans="1:16">
      <c r="A482" s="100"/>
      <c r="B482" s="85"/>
      <c r="C482" s="100" t="s">
        <v>91</v>
      </c>
      <c r="D482" s="80"/>
      <c r="E482" s="80"/>
      <c r="F482" s="80"/>
      <c r="G482" s="80"/>
      <c r="H482" s="80"/>
      <c r="I482" s="80"/>
      <c r="J482" s="80"/>
      <c r="K482" s="80"/>
      <c r="L482" s="80"/>
      <c r="M482" s="160"/>
      <c r="N482" s="160"/>
      <c r="O482" s="82"/>
      <c r="P482" s="86"/>
    </row>
    <row r="483" spans="1:16">
      <c r="A483" s="100"/>
      <c r="B483" s="85"/>
      <c r="C483" s="100" t="s">
        <v>92</v>
      </c>
      <c r="D483" s="80"/>
      <c r="E483" s="80"/>
      <c r="F483" s="80"/>
      <c r="G483" s="80"/>
      <c r="H483" s="80"/>
      <c r="I483" s="80"/>
      <c r="J483" s="80"/>
      <c r="K483" s="80"/>
      <c r="L483" s="80"/>
      <c r="M483" s="160"/>
      <c r="N483" s="160"/>
      <c r="O483" s="82"/>
      <c r="P483" s="86"/>
    </row>
    <row r="484" spans="1:16">
      <c r="A484" s="100"/>
      <c r="B484" s="85"/>
      <c r="C484" s="100" t="s">
        <v>95</v>
      </c>
      <c r="D484" s="80"/>
      <c r="E484" s="80"/>
      <c r="F484" s="80"/>
      <c r="G484" s="80"/>
      <c r="H484" s="80"/>
      <c r="I484" s="80"/>
      <c r="J484" s="80"/>
      <c r="K484" s="80"/>
      <c r="L484" s="80"/>
      <c r="M484" s="160"/>
      <c r="N484" s="160"/>
      <c r="O484" s="82"/>
      <c r="P484" s="86"/>
    </row>
    <row r="485" spans="1:16">
      <c r="A485" s="100"/>
      <c r="B485" s="85"/>
      <c r="C485" s="100" t="s">
        <v>96</v>
      </c>
      <c r="D485" s="80"/>
      <c r="E485" s="80"/>
      <c r="F485" s="80"/>
      <c r="G485" s="80"/>
      <c r="H485" s="80"/>
      <c r="I485" s="80"/>
      <c r="J485" s="80"/>
      <c r="K485" s="80"/>
      <c r="L485" s="80"/>
      <c r="M485" s="160"/>
      <c r="N485" s="160"/>
      <c r="O485" s="82"/>
      <c r="P485" s="86"/>
    </row>
    <row r="486" spans="1:16">
      <c r="A486" s="100"/>
      <c r="B486" s="85"/>
      <c r="C486" s="100" t="s">
        <v>93</v>
      </c>
      <c r="D486" s="80"/>
      <c r="E486" s="80"/>
      <c r="F486" s="80"/>
      <c r="G486" s="80"/>
      <c r="H486" s="80"/>
      <c r="I486" s="80"/>
      <c r="J486" s="80"/>
      <c r="K486" s="80"/>
      <c r="L486" s="80"/>
      <c r="M486" s="160"/>
      <c r="N486" s="160"/>
      <c r="O486" s="82"/>
      <c r="P486" s="86"/>
    </row>
    <row r="487" spans="1:16">
      <c r="A487" s="100"/>
      <c r="B487" s="85"/>
      <c r="C487" s="100" t="s">
        <v>97</v>
      </c>
      <c r="D487" s="80"/>
      <c r="E487" s="80"/>
      <c r="F487" s="80"/>
      <c r="G487" s="80"/>
      <c r="H487" s="80"/>
      <c r="I487" s="80"/>
      <c r="J487" s="80"/>
      <c r="K487" s="80"/>
      <c r="L487" s="80"/>
      <c r="M487" s="160"/>
      <c r="N487" s="160"/>
      <c r="O487" s="82"/>
      <c r="P487" s="86"/>
    </row>
    <row r="488" spans="1:16">
      <c r="A488" s="100"/>
      <c r="B488" s="85"/>
      <c r="C488" s="4" t="s">
        <v>136</v>
      </c>
      <c r="D488" s="80"/>
      <c r="E488" s="80"/>
      <c r="F488" s="80"/>
      <c r="G488" s="80"/>
      <c r="H488" s="80"/>
      <c r="I488" s="80"/>
      <c r="J488" s="80"/>
      <c r="K488" s="80"/>
      <c r="L488" s="80"/>
      <c r="M488" s="160"/>
      <c r="N488" s="160"/>
      <c r="O488" s="82"/>
      <c r="P488" s="86"/>
    </row>
    <row r="489" spans="1:16">
      <c r="A489" s="100"/>
      <c r="B489" s="85" t="s">
        <v>168</v>
      </c>
      <c r="C489" s="100" t="s">
        <v>102</v>
      </c>
      <c r="D489" s="80"/>
      <c r="E489" s="80"/>
      <c r="F489" s="80"/>
      <c r="G489" s="80"/>
      <c r="H489" s="80"/>
      <c r="I489" s="80"/>
      <c r="J489" s="80"/>
      <c r="K489" s="80"/>
      <c r="L489" s="80"/>
      <c r="M489" s="160"/>
      <c r="N489" s="160"/>
      <c r="O489" s="82"/>
      <c r="P489" s="86"/>
    </row>
    <row r="490" spans="1:16">
      <c r="A490" s="100"/>
      <c r="B490" s="85"/>
      <c r="C490" s="100" t="s">
        <v>98</v>
      </c>
      <c r="D490" s="80"/>
      <c r="E490" s="80"/>
      <c r="F490" s="80"/>
      <c r="G490" s="80"/>
      <c r="H490" s="80"/>
      <c r="I490" s="80"/>
      <c r="J490" s="80"/>
      <c r="K490" s="80"/>
      <c r="L490" s="80"/>
      <c r="M490" s="160"/>
      <c r="N490" s="160"/>
      <c r="O490" s="82"/>
      <c r="P490" s="86"/>
    </row>
    <row r="491" spans="1:16">
      <c r="A491" s="100"/>
      <c r="B491" s="85"/>
      <c r="C491" s="100" t="s">
        <v>99</v>
      </c>
      <c r="D491" s="80"/>
      <c r="E491" s="80"/>
      <c r="F491" s="80"/>
      <c r="G491" s="80"/>
      <c r="H491" s="80"/>
      <c r="I491" s="80"/>
      <c r="J491" s="80"/>
      <c r="K491" s="80"/>
      <c r="L491" s="80"/>
      <c r="M491" s="160"/>
      <c r="N491" s="160"/>
      <c r="O491" s="82"/>
      <c r="P491" s="86"/>
    </row>
    <row r="492" spans="1:16">
      <c r="A492" s="100"/>
      <c r="B492" s="85"/>
      <c r="C492" s="100" t="s">
        <v>83</v>
      </c>
      <c r="D492" s="80"/>
      <c r="E492" s="80"/>
      <c r="F492" s="80"/>
      <c r="G492" s="80"/>
      <c r="H492" s="80"/>
      <c r="I492" s="80"/>
      <c r="J492" s="80"/>
      <c r="K492" s="80"/>
      <c r="L492" s="80"/>
      <c r="M492" s="160"/>
      <c r="N492" s="160"/>
      <c r="O492" s="82"/>
      <c r="P492" s="86"/>
    </row>
    <row r="493" spans="1:16">
      <c r="A493" s="100"/>
      <c r="B493" s="85"/>
      <c r="C493" s="100" t="s">
        <v>84</v>
      </c>
      <c r="D493" s="80"/>
      <c r="E493" s="80"/>
      <c r="F493" s="80"/>
      <c r="G493" s="80"/>
      <c r="H493" s="80"/>
      <c r="I493" s="80"/>
      <c r="J493" s="80"/>
      <c r="K493" s="80"/>
      <c r="L493" s="80"/>
      <c r="M493" s="160"/>
      <c r="N493" s="160"/>
      <c r="O493" s="82"/>
      <c r="P493" s="86"/>
    </row>
    <row r="494" spans="1:16">
      <c r="A494" s="100"/>
      <c r="B494" s="85"/>
      <c r="C494" s="100" t="s">
        <v>85</v>
      </c>
      <c r="D494" s="80"/>
      <c r="E494" s="80"/>
      <c r="F494" s="80"/>
      <c r="G494" s="80"/>
      <c r="H494" s="80"/>
      <c r="I494" s="80"/>
      <c r="J494" s="80"/>
      <c r="K494" s="80"/>
      <c r="L494" s="80"/>
      <c r="M494" s="160"/>
      <c r="N494" s="160"/>
      <c r="O494" s="82"/>
      <c r="P494" s="86"/>
    </row>
    <row r="495" spans="1:16">
      <c r="A495" s="100"/>
      <c r="B495" s="85"/>
      <c r="C495" s="100" t="s">
        <v>86</v>
      </c>
      <c r="D495" s="80"/>
      <c r="E495" s="80"/>
      <c r="F495" s="80"/>
      <c r="G495" s="80"/>
      <c r="H495" s="80"/>
      <c r="I495" s="80"/>
      <c r="J495" s="80"/>
      <c r="K495" s="80"/>
      <c r="L495" s="80"/>
      <c r="M495" s="160"/>
      <c r="N495" s="160"/>
      <c r="O495" s="82"/>
      <c r="P495" s="86"/>
    </row>
    <row r="496" spans="1:16">
      <c r="A496" s="100"/>
      <c r="B496" s="85"/>
      <c r="C496" s="100" t="s">
        <v>87</v>
      </c>
      <c r="D496" s="80"/>
      <c r="E496" s="80"/>
      <c r="F496" s="80"/>
      <c r="G496" s="80"/>
      <c r="H496" s="80"/>
      <c r="I496" s="80"/>
      <c r="J496" s="80"/>
      <c r="K496" s="80"/>
      <c r="L496" s="80"/>
      <c r="M496" s="160"/>
      <c r="N496" s="160"/>
      <c r="O496" s="82"/>
      <c r="P496" s="86"/>
    </row>
    <row r="497" spans="1:16">
      <c r="A497" s="100"/>
      <c r="B497" s="85"/>
      <c r="C497" s="100" t="s">
        <v>88</v>
      </c>
      <c r="D497" s="80"/>
      <c r="E497" s="80"/>
      <c r="F497" s="80"/>
      <c r="G497" s="80"/>
      <c r="H497" s="80"/>
      <c r="I497" s="80"/>
      <c r="J497" s="80"/>
      <c r="K497" s="80"/>
      <c r="L497" s="80"/>
      <c r="M497" s="160"/>
      <c r="N497" s="160"/>
      <c r="O497" s="82"/>
      <c r="P497" s="86"/>
    </row>
    <row r="498" spans="1:16">
      <c r="A498" s="100"/>
      <c r="B498" s="85"/>
      <c r="C498" s="100" t="s">
        <v>89</v>
      </c>
      <c r="D498" s="80"/>
      <c r="E498" s="80"/>
      <c r="F498" s="80"/>
      <c r="G498" s="80"/>
      <c r="H498" s="80"/>
      <c r="I498" s="80"/>
      <c r="J498" s="80"/>
      <c r="K498" s="80"/>
      <c r="L498" s="80"/>
      <c r="M498" s="160"/>
      <c r="N498" s="160"/>
      <c r="O498" s="82"/>
      <c r="P498" s="86"/>
    </row>
    <row r="499" spans="1:16">
      <c r="A499" s="100"/>
      <c r="B499" s="85"/>
      <c r="C499" s="100" t="s">
        <v>90</v>
      </c>
      <c r="D499" s="80"/>
      <c r="E499" s="80"/>
      <c r="F499" s="80"/>
      <c r="G499" s="80"/>
      <c r="H499" s="80"/>
      <c r="I499" s="80"/>
      <c r="J499" s="80"/>
      <c r="K499" s="80"/>
      <c r="L499" s="80"/>
      <c r="M499" s="160"/>
      <c r="N499" s="160"/>
      <c r="O499" s="82"/>
      <c r="P499" s="86"/>
    </row>
    <row r="500" spans="1:16">
      <c r="A500" s="100"/>
      <c r="B500" s="85"/>
      <c r="C500" s="100" t="s">
        <v>91</v>
      </c>
      <c r="D500" s="80"/>
      <c r="E500" s="80"/>
      <c r="F500" s="80"/>
      <c r="G500" s="80"/>
      <c r="H500" s="80"/>
      <c r="I500" s="80"/>
      <c r="J500" s="80"/>
      <c r="K500" s="80"/>
      <c r="L500" s="80"/>
      <c r="M500" s="160"/>
      <c r="N500" s="160"/>
      <c r="O500" s="82"/>
      <c r="P500" s="86"/>
    </row>
    <row r="501" spans="1:16">
      <c r="A501" s="100"/>
      <c r="B501" s="85"/>
      <c r="C501" s="100" t="s">
        <v>92</v>
      </c>
      <c r="D501" s="80"/>
      <c r="E501" s="80"/>
      <c r="F501" s="80"/>
      <c r="G501" s="80"/>
      <c r="H501" s="80"/>
      <c r="I501" s="80"/>
      <c r="J501" s="80"/>
      <c r="K501" s="80"/>
      <c r="L501" s="80"/>
      <c r="M501" s="160"/>
      <c r="N501" s="160"/>
      <c r="O501" s="82"/>
      <c r="P501" s="86"/>
    </row>
    <row r="502" spans="1:16">
      <c r="A502" s="100"/>
      <c r="B502" s="85"/>
      <c r="C502" s="100" t="s">
        <v>95</v>
      </c>
      <c r="D502" s="80"/>
      <c r="E502" s="80"/>
      <c r="F502" s="80"/>
      <c r="G502" s="80"/>
      <c r="H502" s="80"/>
      <c r="I502" s="80"/>
      <c r="J502" s="80"/>
      <c r="K502" s="80"/>
      <c r="L502" s="80"/>
      <c r="M502" s="160"/>
      <c r="N502" s="160"/>
      <c r="O502" s="82"/>
      <c r="P502" s="86"/>
    </row>
    <row r="503" spans="1:16">
      <c r="A503" s="100"/>
      <c r="B503" s="85"/>
      <c r="C503" s="100" t="s">
        <v>96</v>
      </c>
      <c r="D503" s="80"/>
      <c r="E503" s="80"/>
      <c r="F503" s="80"/>
      <c r="G503" s="80"/>
      <c r="H503" s="80"/>
      <c r="I503" s="80"/>
      <c r="J503" s="80"/>
      <c r="K503" s="80"/>
      <c r="L503" s="80"/>
      <c r="M503" s="160"/>
      <c r="N503" s="160"/>
      <c r="O503" s="82"/>
      <c r="P503" s="86"/>
    </row>
    <row r="504" spans="1:16">
      <c r="A504" s="100"/>
      <c r="B504" s="85"/>
      <c r="C504" s="100" t="s">
        <v>93</v>
      </c>
      <c r="D504" s="80"/>
      <c r="E504" s="80"/>
      <c r="F504" s="80"/>
      <c r="G504" s="80"/>
      <c r="H504" s="80"/>
      <c r="I504" s="80"/>
      <c r="J504" s="80"/>
      <c r="K504" s="80"/>
      <c r="L504" s="80"/>
      <c r="M504" s="160"/>
      <c r="N504" s="160"/>
      <c r="O504" s="82"/>
      <c r="P504" s="86"/>
    </row>
    <row r="505" spans="1:16">
      <c r="A505" s="100"/>
      <c r="B505" s="85"/>
      <c r="C505" s="100" t="s">
        <v>97</v>
      </c>
      <c r="D505" s="80"/>
      <c r="E505" s="80"/>
      <c r="F505" s="80"/>
      <c r="G505" s="80"/>
      <c r="H505" s="80"/>
      <c r="I505" s="80"/>
      <c r="J505" s="80"/>
      <c r="K505" s="80"/>
      <c r="L505" s="80"/>
      <c r="M505" s="160"/>
      <c r="N505" s="160"/>
      <c r="O505" s="82"/>
      <c r="P505" s="86"/>
    </row>
    <row r="506" spans="1:16">
      <c r="A506" s="100"/>
      <c r="B506" s="85"/>
      <c r="C506" s="4" t="s">
        <v>136</v>
      </c>
      <c r="D506" s="80"/>
      <c r="E506" s="80"/>
      <c r="F506" s="80"/>
      <c r="G506" s="80"/>
      <c r="H506" s="80"/>
      <c r="I506" s="80"/>
      <c r="J506" s="80"/>
      <c r="K506" s="80"/>
      <c r="L506" s="80"/>
      <c r="M506" s="160"/>
      <c r="N506" s="160"/>
      <c r="O506" s="82"/>
      <c r="P506" s="86"/>
    </row>
    <row r="507" spans="1:16">
      <c r="A507" s="100"/>
      <c r="B507" s="85" t="s">
        <v>169</v>
      </c>
      <c r="C507" s="100" t="s">
        <v>102</v>
      </c>
      <c r="D507" s="80"/>
      <c r="E507" s="80"/>
      <c r="F507" s="80"/>
      <c r="G507" s="80"/>
      <c r="H507" s="80"/>
      <c r="I507" s="80"/>
      <c r="J507" s="80"/>
      <c r="K507" s="80"/>
      <c r="L507" s="80"/>
      <c r="M507" s="160"/>
      <c r="N507" s="160"/>
      <c r="O507" s="82"/>
      <c r="P507" s="86"/>
    </row>
    <row r="508" spans="1:16">
      <c r="A508" s="100"/>
      <c r="B508" s="85"/>
      <c r="C508" s="100" t="s">
        <v>98</v>
      </c>
      <c r="D508" s="80"/>
      <c r="E508" s="80"/>
      <c r="F508" s="80"/>
      <c r="G508" s="80"/>
      <c r="H508" s="80"/>
      <c r="I508" s="80"/>
      <c r="J508" s="80"/>
      <c r="K508" s="80"/>
      <c r="L508" s="80"/>
      <c r="M508" s="160"/>
      <c r="N508" s="160"/>
      <c r="O508" s="82"/>
      <c r="P508" s="86"/>
    </row>
    <row r="509" spans="1:16">
      <c r="A509" s="100"/>
      <c r="B509" s="85"/>
      <c r="C509" s="100" t="s">
        <v>99</v>
      </c>
      <c r="D509" s="80"/>
      <c r="E509" s="80"/>
      <c r="F509" s="80"/>
      <c r="G509" s="80"/>
      <c r="H509" s="80"/>
      <c r="I509" s="80"/>
      <c r="J509" s="80"/>
      <c r="K509" s="80"/>
      <c r="L509" s="80"/>
      <c r="M509" s="160"/>
      <c r="N509" s="160"/>
      <c r="O509" s="82"/>
      <c r="P509" s="86"/>
    </row>
    <row r="510" spans="1:16">
      <c r="A510" s="100"/>
      <c r="B510" s="85"/>
      <c r="C510" s="100" t="s">
        <v>83</v>
      </c>
      <c r="D510" s="80"/>
      <c r="E510" s="80"/>
      <c r="F510" s="80"/>
      <c r="G510" s="80"/>
      <c r="H510" s="80"/>
      <c r="I510" s="80"/>
      <c r="J510" s="80"/>
      <c r="K510" s="80"/>
      <c r="L510" s="80"/>
      <c r="M510" s="160"/>
      <c r="N510" s="160"/>
      <c r="O510" s="82"/>
      <c r="P510" s="86"/>
    </row>
    <row r="511" spans="1:16">
      <c r="A511" s="100"/>
      <c r="B511" s="85"/>
      <c r="C511" s="100" t="s">
        <v>84</v>
      </c>
      <c r="D511" s="80"/>
      <c r="E511" s="80"/>
      <c r="F511" s="80"/>
      <c r="G511" s="80"/>
      <c r="H511" s="80"/>
      <c r="I511" s="80"/>
      <c r="J511" s="80"/>
      <c r="K511" s="80"/>
      <c r="L511" s="80"/>
      <c r="M511" s="160"/>
      <c r="N511" s="160"/>
      <c r="O511" s="82"/>
      <c r="P511" s="86"/>
    </row>
    <row r="512" spans="1:16">
      <c r="A512" s="100"/>
      <c r="B512" s="85"/>
      <c r="C512" s="100" t="s">
        <v>85</v>
      </c>
      <c r="D512" s="80"/>
      <c r="E512" s="80"/>
      <c r="F512" s="80"/>
      <c r="G512" s="80"/>
      <c r="H512" s="80"/>
      <c r="I512" s="80"/>
      <c r="J512" s="80"/>
      <c r="K512" s="80"/>
      <c r="L512" s="80"/>
      <c r="M512" s="160"/>
      <c r="N512" s="160"/>
      <c r="O512" s="82"/>
      <c r="P512" s="86"/>
    </row>
    <row r="513" spans="1:16">
      <c r="A513" s="100"/>
      <c r="B513" s="85"/>
      <c r="C513" s="100" t="s">
        <v>86</v>
      </c>
      <c r="D513" s="80"/>
      <c r="E513" s="80"/>
      <c r="F513" s="80"/>
      <c r="G513" s="80"/>
      <c r="H513" s="80"/>
      <c r="I513" s="80"/>
      <c r="J513" s="80"/>
      <c r="K513" s="80"/>
      <c r="L513" s="80"/>
      <c r="M513" s="160"/>
      <c r="N513" s="160"/>
      <c r="O513" s="82"/>
      <c r="P513" s="86"/>
    </row>
    <row r="514" spans="1:16">
      <c r="A514" s="100"/>
      <c r="B514" s="85"/>
      <c r="C514" s="100" t="s">
        <v>87</v>
      </c>
      <c r="D514" s="80"/>
      <c r="E514" s="80"/>
      <c r="F514" s="80"/>
      <c r="G514" s="80"/>
      <c r="H514" s="80"/>
      <c r="I514" s="80"/>
      <c r="J514" s="80"/>
      <c r="K514" s="80"/>
      <c r="L514" s="80"/>
      <c r="M514" s="160"/>
      <c r="N514" s="160"/>
      <c r="O514" s="82"/>
      <c r="P514" s="86"/>
    </row>
    <row r="515" spans="1:16">
      <c r="A515" s="100"/>
      <c r="B515" s="85"/>
      <c r="C515" s="100" t="s">
        <v>88</v>
      </c>
      <c r="D515" s="80"/>
      <c r="E515" s="80"/>
      <c r="F515" s="80"/>
      <c r="G515" s="80"/>
      <c r="H515" s="80"/>
      <c r="I515" s="80"/>
      <c r="J515" s="80"/>
      <c r="K515" s="80"/>
      <c r="L515" s="80"/>
      <c r="M515" s="160"/>
      <c r="N515" s="160"/>
      <c r="O515" s="82"/>
      <c r="P515" s="86"/>
    </row>
    <row r="516" spans="1:16">
      <c r="A516" s="100"/>
      <c r="B516" s="85"/>
      <c r="C516" s="100" t="s">
        <v>89</v>
      </c>
      <c r="D516" s="80"/>
      <c r="E516" s="80"/>
      <c r="F516" s="80"/>
      <c r="G516" s="80"/>
      <c r="H516" s="80"/>
      <c r="I516" s="80"/>
      <c r="J516" s="80"/>
      <c r="K516" s="80"/>
      <c r="L516" s="80"/>
      <c r="M516" s="160"/>
      <c r="N516" s="160"/>
      <c r="O516" s="82"/>
      <c r="P516" s="86"/>
    </row>
    <row r="517" spans="1:16">
      <c r="A517" s="100"/>
      <c r="B517" s="85"/>
      <c r="C517" s="100" t="s">
        <v>90</v>
      </c>
      <c r="D517" s="80"/>
      <c r="E517" s="80"/>
      <c r="F517" s="80"/>
      <c r="G517" s="80"/>
      <c r="H517" s="80"/>
      <c r="I517" s="80"/>
      <c r="J517" s="80"/>
      <c r="K517" s="80"/>
      <c r="L517" s="80"/>
      <c r="M517" s="160"/>
      <c r="N517" s="160"/>
      <c r="O517" s="82"/>
      <c r="P517" s="86"/>
    </row>
    <row r="518" spans="1:16">
      <c r="A518" s="100"/>
      <c r="B518" s="85"/>
      <c r="C518" s="100" t="s">
        <v>91</v>
      </c>
      <c r="D518" s="80"/>
      <c r="E518" s="80"/>
      <c r="F518" s="80"/>
      <c r="G518" s="80"/>
      <c r="H518" s="80"/>
      <c r="I518" s="80"/>
      <c r="J518" s="80"/>
      <c r="K518" s="80"/>
      <c r="L518" s="80"/>
      <c r="M518" s="160"/>
      <c r="N518" s="160"/>
      <c r="O518" s="82"/>
      <c r="P518" s="86"/>
    </row>
    <row r="519" spans="1:16">
      <c r="A519" s="100"/>
      <c r="B519" s="85"/>
      <c r="C519" s="100" t="s">
        <v>92</v>
      </c>
      <c r="D519" s="80"/>
      <c r="E519" s="80"/>
      <c r="F519" s="80"/>
      <c r="G519" s="80"/>
      <c r="H519" s="80"/>
      <c r="I519" s="80"/>
      <c r="J519" s="80"/>
      <c r="K519" s="80"/>
      <c r="L519" s="80"/>
      <c r="M519" s="160"/>
      <c r="N519" s="160"/>
      <c r="O519" s="82"/>
      <c r="P519" s="86"/>
    </row>
    <row r="520" spans="1:16">
      <c r="A520" s="100"/>
      <c r="B520" s="85"/>
      <c r="C520" s="100" t="s">
        <v>95</v>
      </c>
      <c r="D520" s="80"/>
      <c r="E520" s="80"/>
      <c r="F520" s="80"/>
      <c r="G520" s="80"/>
      <c r="H520" s="80"/>
      <c r="I520" s="80"/>
      <c r="J520" s="80"/>
      <c r="K520" s="80"/>
      <c r="L520" s="80"/>
      <c r="M520" s="160"/>
      <c r="N520" s="160"/>
      <c r="O520" s="82"/>
      <c r="P520" s="86"/>
    </row>
    <row r="521" spans="1:16">
      <c r="A521" s="100"/>
      <c r="B521" s="85"/>
      <c r="C521" s="100" t="s">
        <v>96</v>
      </c>
      <c r="D521" s="80"/>
      <c r="E521" s="80"/>
      <c r="F521" s="80"/>
      <c r="G521" s="80"/>
      <c r="H521" s="80"/>
      <c r="I521" s="80"/>
      <c r="J521" s="80"/>
      <c r="K521" s="80"/>
      <c r="L521" s="80"/>
      <c r="M521" s="160"/>
      <c r="N521" s="160"/>
      <c r="O521" s="82"/>
      <c r="P521" s="86"/>
    </row>
    <row r="522" spans="1:16">
      <c r="A522" s="100"/>
      <c r="B522" s="85"/>
      <c r="C522" s="100" t="s">
        <v>93</v>
      </c>
      <c r="D522" s="80"/>
      <c r="E522" s="80"/>
      <c r="F522" s="80"/>
      <c r="G522" s="80"/>
      <c r="H522" s="80"/>
      <c r="I522" s="80"/>
      <c r="J522" s="80"/>
      <c r="K522" s="80"/>
      <c r="L522" s="80"/>
      <c r="M522" s="160"/>
      <c r="N522" s="160"/>
      <c r="O522" s="82"/>
      <c r="P522" s="86"/>
    </row>
    <row r="523" spans="1:16">
      <c r="A523" s="100"/>
      <c r="B523" s="85"/>
      <c r="C523" s="100" t="s">
        <v>97</v>
      </c>
      <c r="D523" s="80"/>
      <c r="E523" s="80"/>
      <c r="F523" s="80"/>
      <c r="G523" s="80"/>
      <c r="H523" s="80"/>
      <c r="I523" s="80"/>
      <c r="J523" s="80"/>
      <c r="K523" s="80"/>
      <c r="L523" s="80"/>
      <c r="M523" s="160"/>
      <c r="N523" s="160"/>
      <c r="O523" s="82"/>
      <c r="P523" s="86"/>
    </row>
    <row r="524" spans="1:16">
      <c r="A524" s="100"/>
      <c r="B524" s="85"/>
      <c r="C524" s="4" t="s">
        <v>136</v>
      </c>
      <c r="D524" s="80"/>
      <c r="E524" s="80"/>
      <c r="F524" s="80"/>
      <c r="G524" s="80"/>
      <c r="H524" s="80"/>
      <c r="I524" s="80"/>
      <c r="J524" s="80"/>
      <c r="K524" s="80"/>
      <c r="L524" s="80"/>
      <c r="M524" s="160"/>
      <c r="N524" s="160"/>
      <c r="O524" s="82"/>
      <c r="P524" s="86"/>
    </row>
    <row r="525" spans="1:16">
      <c r="A525" s="100"/>
      <c r="B525" s="85" t="s">
        <v>170</v>
      </c>
      <c r="C525" s="100" t="s">
        <v>102</v>
      </c>
      <c r="D525" s="80"/>
      <c r="E525" s="80"/>
      <c r="F525" s="80"/>
      <c r="G525" s="80"/>
      <c r="H525" s="80"/>
      <c r="I525" s="80"/>
      <c r="J525" s="80"/>
      <c r="K525" s="80"/>
      <c r="L525" s="80"/>
      <c r="M525" s="160"/>
      <c r="N525" s="160"/>
      <c r="O525" s="82"/>
      <c r="P525" s="86"/>
    </row>
    <row r="526" spans="1:16">
      <c r="A526" s="100"/>
      <c r="B526" s="85"/>
      <c r="C526" s="100" t="s">
        <v>98</v>
      </c>
      <c r="D526" s="80"/>
      <c r="E526" s="80"/>
      <c r="F526" s="80"/>
      <c r="G526" s="80"/>
      <c r="H526" s="80"/>
      <c r="I526" s="80"/>
      <c r="J526" s="80"/>
      <c r="K526" s="80"/>
      <c r="L526" s="80"/>
      <c r="M526" s="160"/>
      <c r="N526" s="160"/>
      <c r="O526" s="82"/>
      <c r="P526" s="86"/>
    </row>
    <row r="527" spans="1:16">
      <c r="A527" s="100"/>
      <c r="B527" s="85"/>
      <c r="C527" s="100" t="s">
        <v>99</v>
      </c>
      <c r="D527" s="80"/>
      <c r="E527" s="80"/>
      <c r="F527" s="80"/>
      <c r="G527" s="80"/>
      <c r="H527" s="80"/>
      <c r="I527" s="80"/>
      <c r="J527" s="80"/>
      <c r="K527" s="80"/>
      <c r="L527" s="80"/>
      <c r="M527" s="160"/>
      <c r="N527" s="160"/>
      <c r="O527" s="82"/>
      <c r="P527" s="86"/>
    </row>
    <row r="528" spans="1:16">
      <c r="A528" s="100"/>
      <c r="B528" s="85"/>
      <c r="C528" s="100" t="s">
        <v>83</v>
      </c>
      <c r="D528" s="80"/>
      <c r="E528" s="80"/>
      <c r="F528" s="80"/>
      <c r="G528" s="80"/>
      <c r="H528" s="80"/>
      <c r="I528" s="80"/>
      <c r="J528" s="80"/>
      <c r="K528" s="80"/>
      <c r="L528" s="80"/>
      <c r="M528" s="160"/>
      <c r="N528" s="160"/>
      <c r="O528" s="82"/>
      <c r="P528" s="86"/>
    </row>
    <row r="529" spans="1:16">
      <c r="A529" s="100"/>
      <c r="B529" s="85"/>
      <c r="C529" s="100" t="s">
        <v>84</v>
      </c>
      <c r="D529" s="80"/>
      <c r="E529" s="80"/>
      <c r="F529" s="80"/>
      <c r="G529" s="80"/>
      <c r="H529" s="80"/>
      <c r="I529" s="80"/>
      <c r="J529" s="80"/>
      <c r="K529" s="80"/>
      <c r="L529" s="80"/>
      <c r="M529" s="160"/>
      <c r="N529" s="160"/>
      <c r="O529" s="82"/>
      <c r="P529" s="86"/>
    </row>
    <row r="530" spans="1:16">
      <c r="A530" s="100"/>
      <c r="B530" s="85"/>
      <c r="C530" s="100" t="s">
        <v>85</v>
      </c>
      <c r="D530" s="80"/>
      <c r="E530" s="80"/>
      <c r="F530" s="80"/>
      <c r="G530" s="80"/>
      <c r="H530" s="80"/>
      <c r="I530" s="80"/>
      <c r="J530" s="80"/>
      <c r="K530" s="80"/>
      <c r="L530" s="80"/>
      <c r="M530" s="160"/>
      <c r="N530" s="160"/>
      <c r="O530" s="82"/>
      <c r="P530" s="86"/>
    </row>
    <row r="531" spans="1:16">
      <c r="A531" s="100"/>
      <c r="B531" s="85"/>
      <c r="C531" s="100" t="s">
        <v>86</v>
      </c>
      <c r="D531" s="80"/>
      <c r="E531" s="80"/>
      <c r="F531" s="80"/>
      <c r="G531" s="80"/>
      <c r="H531" s="80"/>
      <c r="I531" s="80"/>
      <c r="J531" s="80"/>
      <c r="K531" s="80"/>
      <c r="L531" s="80"/>
      <c r="M531" s="160"/>
      <c r="N531" s="160"/>
      <c r="O531" s="82"/>
      <c r="P531" s="86"/>
    </row>
    <row r="532" spans="1:16">
      <c r="A532" s="100"/>
      <c r="B532" s="85"/>
      <c r="C532" s="100" t="s">
        <v>87</v>
      </c>
      <c r="D532" s="80"/>
      <c r="E532" s="80"/>
      <c r="F532" s="80"/>
      <c r="G532" s="80"/>
      <c r="H532" s="80"/>
      <c r="I532" s="80"/>
      <c r="J532" s="80"/>
      <c r="K532" s="80"/>
      <c r="L532" s="80"/>
      <c r="M532" s="160"/>
      <c r="N532" s="160"/>
      <c r="O532" s="82"/>
      <c r="P532" s="86"/>
    </row>
    <row r="533" spans="1:16">
      <c r="A533" s="100"/>
      <c r="B533" s="85"/>
      <c r="C533" s="100" t="s">
        <v>88</v>
      </c>
      <c r="D533" s="80"/>
      <c r="E533" s="80"/>
      <c r="F533" s="80"/>
      <c r="G533" s="80"/>
      <c r="H533" s="80"/>
      <c r="I533" s="80"/>
      <c r="J533" s="80"/>
      <c r="K533" s="80"/>
      <c r="L533" s="80"/>
      <c r="M533" s="160"/>
      <c r="N533" s="160"/>
      <c r="O533" s="82"/>
      <c r="P533" s="86"/>
    </row>
    <row r="534" spans="1:16">
      <c r="A534" s="100"/>
      <c r="B534" s="85"/>
      <c r="C534" s="100" t="s">
        <v>89</v>
      </c>
      <c r="D534" s="80"/>
      <c r="E534" s="80"/>
      <c r="F534" s="80"/>
      <c r="G534" s="80"/>
      <c r="H534" s="80"/>
      <c r="I534" s="80"/>
      <c r="J534" s="80"/>
      <c r="K534" s="80"/>
      <c r="L534" s="80"/>
      <c r="M534" s="160"/>
      <c r="N534" s="160"/>
      <c r="O534" s="82"/>
      <c r="P534" s="86"/>
    </row>
    <row r="535" spans="1:16">
      <c r="A535" s="100"/>
      <c r="B535" s="85"/>
      <c r="C535" s="100" t="s">
        <v>90</v>
      </c>
      <c r="D535" s="80"/>
      <c r="E535" s="80"/>
      <c r="F535" s="80"/>
      <c r="G535" s="80"/>
      <c r="H535" s="80"/>
      <c r="I535" s="80"/>
      <c r="J535" s="80"/>
      <c r="K535" s="80"/>
      <c r="L535" s="80"/>
      <c r="M535" s="160"/>
      <c r="N535" s="160"/>
      <c r="O535" s="82"/>
      <c r="P535" s="86"/>
    </row>
    <row r="536" spans="1:16">
      <c r="A536" s="100"/>
      <c r="B536" s="85"/>
      <c r="C536" s="100" t="s">
        <v>91</v>
      </c>
      <c r="D536" s="80"/>
      <c r="E536" s="80"/>
      <c r="F536" s="80"/>
      <c r="G536" s="80"/>
      <c r="H536" s="80"/>
      <c r="I536" s="80"/>
      <c r="J536" s="80"/>
      <c r="K536" s="80"/>
      <c r="L536" s="80"/>
      <c r="M536" s="160"/>
      <c r="N536" s="160"/>
      <c r="O536" s="82"/>
      <c r="P536" s="86"/>
    </row>
    <row r="537" spans="1:16">
      <c r="A537" s="100"/>
      <c r="B537" s="85"/>
      <c r="C537" s="100" t="s">
        <v>92</v>
      </c>
      <c r="D537" s="80"/>
      <c r="E537" s="80"/>
      <c r="F537" s="80"/>
      <c r="G537" s="80"/>
      <c r="H537" s="80"/>
      <c r="I537" s="80"/>
      <c r="J537" s="80"/>
      <c r="K537" s="80"/>
      <c r="L537" s="80"/>
      <c r="M537" s="160"/>
      <c r="N537" s="160"/>
      <c r="O537" s="82"/>
      <c r="P537" s="86"/>
    </row>
    <row r="538" spans="1:16">
      <c r="A538" s="100"/>
      <c r="B538" s="85"/>
      <c r="C538" s="100" t="s">
        <v>95</v>
      </c>
      <c r="D538" s="80"/>
      <c r="E538" s="80"/>
      <c r="F538" s="80"/>
      <c r="G538" s="80"/>
      <c r="H538" s="80"/>
      <c r="I538" s="80"/>
      <c r="J538" s="80"/>
      <c r="K538" s="80"/>
      <c r="L538" s="80"/>
      <c r="M538" s="160"/>
      <c r="N538" s="160"/>
      <c r="O538" s="82"/>
      <c r="P538" s="86"/>
    </row>
    <row r="539" spans="1:16">
      <c r="A539" s="100"/>
      <c r="B539" s="85"/>
      <c r="C539" s="100" t="s">
        <v>96</v>
      </c>
      <c r="D539" s="80"/>
      <c r="E539" s="80"/>
      <c r="F539" s="80"/>
      <c r="G539" s="80"/>
      <c r="H539" s="80"/>
      <c r="I539" s="80"/>
      <c r="J539" s="80"/>
      <c r="K539" s="80"/>
      <c r="L539" s="80"/>
      <c r="M539" s="160"/>
      <c r="N539" s="160"/>
      <c r="O539" s="82"/>
      <c r="P539" s="86"/>
    </row>
    <row r="540" spans="1:16">
      <c r="A540" s="100"/>
      <c r="B540" s="85"/>
      <c r="C540" s="100" t="s">
        <v>93</v>
      </c>
      <c r="D540" s="80"/>
      <c r="E540" s="80"/>
      <c r="F540" s="80"/>
      <c r="G540" s="80"/>
      <c r="H540" s="80"/>
      <c r="I540" s="80"/>
      <c r="J540" s="80"/>
      <c r="K540" s="80"/>
      <c r="L540" s="80"/>
      <c r="M540" s="160"/>
      <c r="N540" s="160"/>
      <c r="O540" s="82"/>
      <c r="P540" s="86"/>
    </row>
    <row r="541" spans="1:16">
      <c r="A541" s="100"/>
      <c r="B541" s="85"/>
      <c r="C541" s="100" t="s">
        <v>97</v>
      </c>
      <c r="D541" s="80"/>
      <c r="E541" s="80"/>
      <c r="F541" s="80"/>
      <c r="G541" s="80"/>
      <c r="H541" s="80"/>
      <c r="I541" s="80"/>
      <c r="J541" s="80"/>
      <c r="K541" s="80"/>
      <c r="L541" s="80"/>
      <c r="M541" s="160"/>
      <c r="N541" s="160"/>
      <c r="O541" s="82"/>
      <c r="P541" s="86"/>
    </row>
    <row r="542" spans="1:16">
      <c r="A542" s="100"/>
      <c r="B542" s="85"/>
      <c r="C542" s="4" t="s">
        <v>136</v>
      </c>
      <c r="D542" s="80"/>
      <c r="E542" s="80"/>
      <c r="F542" s="80"/>
      <c r="G542" s="80"/>
      <c r="H542" s="80"/>
      <c r="I542" s="80"/>
      <c r="J542" s="80"/>
      <c r="K542" s="80"/>
      <c r="L542" s="80"/>
      <c r="M542" s="160"/>
      <c r="N542" s="160"/>
      <c r="O542" s="82"/>
      <c r="P542" s="86"/>
    </row>
    <row r="543" spans="1:16">
      <c r="A543" s="100"/>
      <c r="B543" s="85" t="s">
        <v>171</v>
      </c>
      <c r="C543" s="100" t="s">
        <v>102</v>
      </c>
      <c r="D543" s="80"/>
      <c r="E543" s="80"/>
      <c r="F543" s="80"/>
      <c r="G543" s="80"/>
      <c r="H543" s="80"/>
      <c r="I543" s="80"/>
      <c r="J543" s="80"/>
      <c r="K543" s="80"/>
      <c r="L543" s="80"/>
      <c r="M543" s="160"/>
      <c r="N543" s="160"/>
      <c r="O543" s="82"/>
      <c r="P543" s="86"/>
    </row>
    <row r="544" spans="1:16">
      <c r="A544" s="100"/>
      <c r="B544" s="85"/>
      <c r="C544" s="100" t="s">
        <v>98</v>
      </c>
      <c r="D544" s="80"/>
      <c r="E544" s="80"/>
      <c r="F544" s="80"/>
      <c r="G544" s="80"/>
      <c r="H544" s="80"/>
      <c r="I544" s="80"/>
      <c r="J544" s="80"/>
      <c r="K544" s="80"/>
      <c r="L544" s="80"/>
      <c r="M544" s="160"/>
      <c r="N544" s="160"/>
      <c r="O544" s="82"/>
      <c r="P544" s="86"/>
    </row>
    <row r="545" spans="1:16">
      <c r="A545" s="100"/>
      <c r="B545" s="85"/>
      <c r="C545" s="100" t="s">
        <v>99</v>
      </c>
      <c r="D545" s="80"/>
      <c r="E545" s="80"/>
      <c r="F545" s="80"/>
      <c r="G545" s="80"/>
      <c r="H545" s="80"/>
      <c r="I545" s="80"/>
      <c r="J545" s="80"/>
      <c r="K545" s="80"/>
      <c r="L545" s="80"/>
      <c r="M545" s="160"/>
      <c r="N545" s="160"/>
      <c r="O545" s="82"/>
      <c r="P545" s="86"/>
    </row>
    <row r="546" spans="1:16">
      <c r="A546" s="100"/>
      <c r="B546" s="85"/>
      <c r="C546" s="100" t="s">
        <v>83</v>
      </c>
      <c r="D546" s="80"/>
      <c r="E546" s="80"/>
      <c r="F546" s="80"/>
      <c r="G546" s="80"/>
      <c r="H546" s="80"/>
      <c r="I546" s="80"/>
      <c r="J546" s="80"/>
      <c r="K546" s="80"/>
      <c r="L546" s="80"/>
      <c r="M546" s="160"/>
      <c r="N546" s="160"/>
      <c r="O546" s="82"/>
      <c r="P546" s="86"/>
    </row>
    <row r="547" spans="1:16">
      <c r="A547" s="100"/>
      <c r="B547" s="85"/>
      <c r="C547" s="100" t="s">
        <v>84</v>
      </c>
      <c r="D547" s="80"/>
      <c r="E547" s="80"/>
      <c r="F547" s="80"/>
      <c r="G547" s="80"/>
      <c r="H547" s="80"/>
      <c r="I547" s="80"/>
      <c r="J547" s="80"/>
      <c r="K547" s="80"/>
      <c r="L547" s="80"/>
      <c r="M547" s="160"/>
      <c r="N547" s="160"/>
      <c r="O547" s="82"/>
      <c r="P547" s="86"/>
    </row>
    <row r="548" spans="1:16">
      <c r="A548" s="100"/>
      <c r="B548" s="85"/>
      <c r="C548" s="100" t="s">
        <v>85</v>
      </c>
      <c r="D548" s="80"/>
      <c r="E548" s="80"/>
      <c r="F548" s="80"/>
      <c r="G548" s="80"/>
      <c r="H548" s="80"/>
      <c r="I548" s="80"/>
      <c r="J548" s="80"/>
      <c r="K548" s="80"/>
      <c r="L548" s="80"/>
      <c r="M548" s="160"/>
      <c r="N548" s="160"/>
      <c r="O548" s="82"/>
      <c r="P548" s="86"/>
    </row>
    <row r="549" spans="1:16">
      <c r="A549" s="100"/>
      <c r="B549" s="85"/>
      <c r="C549" s="100" t="s">
        <v>86</v>
      </c>
      <c r="D549" s="80"/>
      <c r="E549" s="80"/>
      <c r="F549" s="80"/>
      <c r="G549" s="80"/>
      <c r="H549" s="80"/>
      <c r="I549" s="80"/>
      <c r="J549" s="80"/>
      <c r="K549" s="80"/>
      <c r="L549" s="80"/>
      <c r="M549" s="160"/>
      <c r="N549" s="160"/>
      <c r="O549" s="82"/>
      <c r="P549" s="86"/>
    </row>
    <row r="550" spans="1:16">
      <c r="A550" s="100"/>
      <c r="B550" s="85"/>
      <c r="C550" s="100" t="s">
        <v>87</v>
      </c>
      <c r="D550" s="80"/>
      <c r="E550" s="80"/>
      <c r="F550" s="80"/>
      <c r="G550" s="80"/>
      <c r="H550" s="80"/>
      <c r="I550" s="80"/>
      <c r="J550" s="80"/>
      <c r="K550" s="80"/>
      <c r="L550" s="80"/>
      <c r="M550" s="160"/>
      <c r="N550" s="160"/>
      <c r="O550" s="82"/>
      <c r="P550" s="86"/>
    </row>
    <row r="551" spans="1:16">
      <c r="A551" s="100"/>
      <c r="B551" s="85"/>
      <c r="C551" s="100" t="s">
        <v>88</v>
      </c>
      <c r="D551" s="80"/>
      <c r="E551" s="80"/>
      <c r="F551" s="80"/>
      <c r="G551" s="80"/>
      <c r="H551" s="80"/>
      <c r="I551" s="80"/>
      <c r="J551" s="80"/>
      <c r="K551" s="80"/>
      <c r="L551" s="80"/>
      <c r="M551" s="160"/>
      <c r="N551" s="160"/>
      <c r="O551" s="82"/>
      <c r="P551" s="86"/>
    </row>
    <row r="552" spans="1:16">
      <c r="A552" s="100"/>
      <c r="B552" s="85"/>
      <c r="C552" s="100" t="s">
        <v>89</v>
      </c>
      <c r="D552" s="80"/>
      <c r="E552" s="80"/>
      <c r="F552" s="80"/>
      <c r="G552" s="80"/>
      <c r="H552" s="80"/>
      <c r="I552" s="80"/>
      <c r="J552" s="80"/>
      <c r="K552" s="80"/>
      <c r="L552" s="80"/>
      <c r="M552" s="160"/>
      <c r="N552" s="160"/>
      <c r="O552" s="82"/>
      <c r="P552" s="86"/>
    </row>
    <row r="553" spans="1:16">
      <c r="A553" s="100"/>
      <c r="B553" s="85"/>
      <c r="C553" s="100" t="s">
        <v>90</v>
      </c>
      <c r="D553" s="80"/>
      <c r="E553" s="80"/>
      <c r="F553" s="80"/>
      <c r="G553" s="80"/>
      <c r="H553" s="80"/>
      <c r="I553" s="80"/>
      <c r="J553" s="80"/>
      <c r="K553" s="80"/>
      <c r="L553" s="80"/>
      <c r="M553" s="160"/>
      <c r="N553" s="160"/>
      <c r="O553" s="82"/>
      <c r="P553" s="86"/>
    </row>
    <row r="554" spans="1:16">
      <c r="A554" s="100"/>
      <c r="B554" s="85"/>
      <c r="C554" s="100" t="s">
        <v>91</v>
      </c>
      <c r="D554" s="80"/>
      <c r="E554" s="80"/>
      <c r="F554" s="80"/>
      <c r="G554" s="80"/>
      <c r="H554" s="80"/>
      <c r="I554" s="80"/>
      <c r="J554" s="80"/>
      <c r="K554" s="80"/>
      <c r="L554" s="80"/>
      <c r="M554" s="160"/>
      <c r="N554" s="160"/>
      <c r="O554" s="82"/>
      <c r="P554" s="86"/>
    </row>
    <row r="555" spans="1:16">
      <c r="A555" s="100"/>
      <c r="B555" s="85"/>
      <c r="C555" s="100" t="s">
        <v>92</v>
      </c>
      <c r="D555" s="80"/>
      <c r="E555" s="80"/>
      <c r="F555" s="80"/>
      <c r="G555" s="80"/>
      <c r="H555" s="80"/>
      <c r="I555" s="80"/>
      <c r="J555" s="80"/>
      <c r="K555" s="80"/>
      <c r="L555" s="80"/>
      <c r="M555" s="160"/>
      <c r="N555" s="160"/>
      <c r="O555" s="82"/>
      <c r="P555" s="86"/>
    </row>
    <row r="556" spans="1:16">
      <c r="A556" s="100"/>
      <c r="B556" s="85"/>
      <c r="C556" s="100" t="s">
        <v>95</v>
      </c>
      <c r="D556" s="80"/>
      <c r="E556" s="80"/>
      <c r="F556" s="80"/>
      <c r="G556" s="80"/>
      <c r="H556" s="80"/>
      <c r="I556" s="80"/>
      <c r="J556" s="80"/>
      <c r="K556" s="80"/>
      <c r="L556" s="80"/>
      <c r="M556" s="160"/>
      <c r="N556" s="160"/>
      <c r="O556" s="82"/>
      <c r="P556" s="86"/>
    </row>
    <row r="557" spans="1:16">
      <c r="A557" s="100"/>
      <c r="B557" s="85"/>
      <c r="C557" s="100" t="s">
        <v>96</v>
      </c>
      <c r="D557" s="80"/>
      <c r="E557" s="80"/>
      <c r="F557" s="80"/>
      <c r="G557" s="80"/>
      <c r="H557" s="80"/>
      <c r="I557" s="80"/>
      <c r="J557" s="80"/>
      <c r="K557" s="80"/>
      <c r="L557" s="80"/>
      <c r="M557" s="160"/>
      <c r="N557" s="160"/>
      <c r="O557" s="82"/>
      <c r="P557" s="86"/>
    </row>
    <row r="558" spans="1:16">
      <c r="A558" s="100"/>
      <c r="B558" s="85"/>
      <c r="C558" s="100" t="s">
        <v>93</v>
      </c>
      <c r="D558" s="80"/>
      <c r="E558" s="80"/>
      <c r="F558" s="80"/>
      <c r="G558" s="80"/>
      <c r="H558" s="80"/>
      <c r="I558" s="80"/>
      <c r="J558" s="80"/>
      <c r="K558" s="80"/>
      <c r="L558" s="80"/>
      <c r="M558" s="160"/>
      <c r="N558" s="160"/>
      <c r="O558" s="82"/>
      <c r="P558" s="86"/>
    </row>
    <row r="559" spans="1:16">
      <c r="A559" s="100"/>
      <c r="B559" s="85"/>
      <c r="C559" s="100" t="s">
        <v>97</v>
      </c>
      <c r="D559" s="80"/>
      <c r="E559" s="80"/>
      <c r="F559" s="80"/>
      <c r="G559" s="80"/>
      <c r="H559" s="80"/>
      <c r="I559" s="80"/>
      <c r="J559" s="80"/>
      <c r="K559" s="80"/>
      <c r="L559" s="80"/>
      <c r="M559" s="160"/>
      <c r="N559" s="160"/>
      <c r="O559" s="82"/>
      <c r="P559" s="86"/>
    </row>
    <row r="560" spans="1:16">
      <c r="A560" s="100"/>
      <c r="B560" s="85"/>
      <c r="C560" s="4" t="s">
        <v>136</v>
      </c>
      <c r="D560" s="80"/>
      <c r="E560" s="80"/>
      <c r="F560" s="80"/>
      <c r="G560" s="80"/>
      <c r="H560" s="80"/>
      <c r="I560" s="80"/>
      <c r="J560" s="80"/>
      <c r="K560" s="80"/>
      <c r="L560" s="80"/>
      <c r="M560" s="160"/>
      <c r="N560" s="160"/>
      <c r="O560" s="82"/>
      <c r="P560" s="86"/>
    </row>
    <row r="561" spans="1:16">
      <c r="A561" s="100"/>
      <c r="B561" s="85" t="s">
        <v>172</v>
      </c>
      <c r="C561" s="100" t="s">
        <v>102</v>
      </c>
      <c r="D561" s="80"/>
      <c r="E561" s="80"/>
      <c r="F561" s="80"/>
      <c r="G561" s="80"/>
      <c r="H561" s="80"/>
      <c r="I561" s="80"/>
      <c r="J561" s="80"/>
      <c r="K561" s="80"/>
      <c r="L561" s="80"/>
      <c r="M561" s="160"/>
      <c r="N561" s="160"/>
      <c r="O561" s="82"/>
      <c r="P561" s="86"/>
    </row>
    <row r="562" spans="1:16">
      <c r="A562" s="100"/>
      <c r="B562" s="85"/>
      <c r="C562" s="100" t="s">
        <v>98</v>
      </c>
      <c r="D562" s="80"/>
      <c r="E562" s="80"/>
      <c r="F562" s="80"/>
      <c r="G562" s="80"/>
      <c r="H562" s="80"/>
      <c r="I562" s="80"/>
      <c r="J562" s="80"/>
      <c r="K562" s="80"/>
      <c r="L562" s="80"/>
      <c r="M562" s="160"/>
      <c r="N562" s="160"/>
      <c r="O562" s="82"/>
      <c r="P562" s="86"/>
    </row>
    <row r="563" spans="1:16">
      <c r="A563" s="100"/>
      <c r="B563" s="85"/>
      <c r="C563" s="100" t="s">
        <v>99</v>
      </c>
      <c r="D563" s="80"/>
      <c r="E563" s="80"/>
      <c r="F563" s="80"/>
      <c r="G563" s="80"/>
      <c r="H563" s="80"/>
      <c r="I563" s="80"/>
      <c r="J563" s="80"/>
      <c r="K563" s="80"/>
      <c r="L563" s="80"/>
      <c r="M563" s="160"/>
      <c r="N563" s="160"/>
      <c r="O563" s="82"/>
      <c r="P563" s="86"/>
    </row>
    <row r="564" spans="1:16">
      <c r="A564" s="100"/>
      <c r="B564" s="85"/>
      <c r="C564" s="100" t="s">
        <v>83</v>
      </c>
      <c r="D564" s="80"/>
      <c r="E564" s="80"/>
      <c r="F564" s="80"/>
      <c r="G564" s="80"/>
      <c r="H564" s="80"/>
      <c r="I564" s="80"/>
      <c r="J564" s="80"/>
      <c r="K564" s="80"/>
      <c r="L564" s="80"/>
      <c r="M564" s="160"/>
      <c r="N564" s="160"/>
      <c r="O564" s="82"/>
      <c r="P564" s="86"/>
    </row>
    <row r="565" spans="1:16">
      <c r="A565" s="100"/>
      <c r="B565" s="85"/>
      <c r="C565" s="100" t="s">
        <v>84</v>
      </c>
      <c r="D565" s="80"/>
      <c r="E565" s="80"/>
      <c r="F565" s="80"/>
      <c r="G565" s="80"/>
      <c r="H565" s="80"/>
      <c r="I565" s="80"/>
      <c r="J565" s="80"/>
      <c r="K565" s="80"/>
      <c r="L565" s="80"/>
      <c r="M565" s="160"/>
      <c r="N565" s="160"/>
      <c r="O565" s="82"/>
      <c r="P565" s="86"/>
    </row>
    <row r="566" spans="1:16">
      <c r="A566" s="100"/>
      <c r="B566" s="85"/>
      <c r="C566" s="100" t="s">
        <v>85</v>
      </c>
      <c r="D566" s="80"/>
      <c r="E566" s="80"/>
      <c r="F566" s="80"/>
      <c r="G566" s="80"/>
      <c r="H566" s="80"/>
      <c r="I566" s="80"/>
      <c r="J566" s="80"/>
      <c r="K566" s="80"/>
      <c r="L566" s="80"/>
      <c r="M566" s="160"/>
      <c r="N566" s="160"/>
      <c r="O566" s="82"/>
      <c r="P566" s="86"/>
    </row>
    <row r="567" spans="1:16">
      <c r="A567" s="100"/>
      <c r="B567" s="85"/>
      <c r="C567" s="100" t="s">
        <v>86</v>
      </c>
      <c r="D567" s="80"/>
      <c r="E567" s="80"/>
      <c r="F567" s="80"/>
      <c r="G567" s="80"/>
      <c r="H567" s="80"/>
      <c r="I567" s="80"/>
      <c r="J567" s="80"/>
      <c r="K567" s="80"/>
      <c r="L567" s="80"/>
      <c r="M567" s="160"/>
      <c r="N567" s="160"/>
      <c r="O567" s="82"/>
      <c r="P567" s="86"/>
    </row>
    <row r="568" spans="1:16">
      <c r="A568" s="100"/>
      <c r="B568" s="85"/>
      <c r="C568" s="100" t="s">
        <v>87</v>
      </c>
      <c r="D568" s="80"/>
      <c r="E568" s="80"/>
      <c r="F568" s="80"/>
      <c r="G568" s="80"/>
      <c r="H568" s="80"/>
      <c r="I568" s="80"/>
      <c r="J568" s="80"/>
      <c r="K568" s="80"/>
      <c r="L568" s="80"/>
      <c r="M568" s="160"/>
      <c r="N568" s="160"/>
      <c r="O568" s="82"/>
      <c r="P568" s="86"/>
    </row>
    <row r="569" spans="1:16">
      <c r="A569" s="100"/>
      <c r="B569" s="85"/>
      <c r="C569" s="100" t="s">
        <v>88</v>
      </c>
      <c r="D569" s="80"/>
      <c r="E569" s="80"/>
      <c r="F569" s="80"/>
      <c r="G569" s="80"/>
      <c r="H569" s="80"/>
      <c r="I569" s="80"/>
      <c r="J569" s="80"/>
      <c r="K569" s="80"/>
      <c r="L569" s="80"/>
      <c r="M569" s="160"/>
      <c r="N569" s="160"/>
      <c r="O569" s="82"/>
      <c r="P569" s="86"/>
    </row>
    <row r="570" spans="1:16">
      <c r="A570" s="100"/>
      <c r="B570" s="85"/>
      <c r="C570" s="100" t="s">
        <v>89</v>
      </c>
      <c r="D570" s="80"/>
      <c r="E570" s="80"/>
      <c r="F570" s="80"/>
      <c r="G570" s="80"/>
      <c r="H570" s="80"/>
      <c r="I570" s="80"/>
      <c r="J570" s="80"/>
      <c r="K570" s="80"/>
      <c r="L570" s="80"/>
      <c r="M570" s="160"/>
      <c r="N570" s="160"/>
      <c r="O570" s="82"/>
      <c r="P570" s="86"/>
    </row>
    <row r="571" spans="1:16">
      <c r="A571" s="100"/>
      <c r="B571" s="85"/>
      <c r="C571" s="100" t="s">
        <v>90</v>
      </c>
      <c r="D571" s="80"/>
      <c r="E571" s="80"/>
      <c r="F571" s="80"/>
      <c r="G571" s="80"/>
      <c r="H571" s="80"/>
      <c r="I571" s="80"/>
      <c r="J571" s="80"/>
      <c r="K571" s="80"/>
      <c r="L571" s="80"/>
      <c r="M571" s="160"/>
      <c r="N571" s="160"/>
      <c r="O571" s="82"/>
      <c r="P571" s="86"/>
    </row>
    <row r="572" spans="1:16">
      <c r="A572" s="100"/>
      <c r="B572" s="85"/>
      <c r="C572" s="100" t="s">
        <v>91</v>
      </c>
      <c r="D572" s="80"/>
      <c r="E572" s="80"/>
      <c r="F572" s="80"/>
      <c r="G572" s="80"/>
      <c r="H572" s="80"/>
      <c r="I572" s="80"/>
      <c r="J572" s="80"/>
      <c r="K572" s="80"/>
      <c r="L572" s="80"/>
      <c r="M572" s="160"/>
      <c r="N572" s="160"/>
      <c r="O572" s="82"/>
      <c r="P572" s="86"/>
    </row>
    <row r="573" spans="1:16">
      <c r="A573" s="100"/>
      <c r="B573" s="85"/>
      <c r="C573" s="100" t="s">
        <v>92</v>
      </c>
      <c r="D573" s="80"/>
      <c r="E573" s="80"/>
      <c r="F573" s="80"/>
      <c r="G573" s="80"/>
      <c r="H573" s="80"/>
      <c r="I573" s="80"/>
      <c r="J573" s="80"/>
      <c r="K573" s="80"/>
      <c r="L573" s="80"/>
      <c r="M573" s="160"/>
      <c r="N573" s="160"/>
      <c r="O573" s="82"/>
      <c r="P573" s="86"/>
    </row>
    <row r="574" spans="1:16">
      <c r="A574" s="100"/>
      <c r="B574" s="85"/>
      <c r="C574" s="100" t="s">
        <v>95</v>
      </c>
      <c r="D574" s="80"/>
      <c r="E574" s="80"/>
      <c r="F574" s="80"/>
      <c r="G574" s="80"/>
      <c r="H574" s="80"/>
      <c r="I574" s="80"/>
      <c r="J574" s="80"/>
      <c r="K574" s="80"/>
      <c r="L574" s="80"/>
      <c r="M574" s="160"/>
      <c r="N574" s="160"/>
      <c r="O574" s="82"/>
      <c r="P574" s="86"/>
    </row>
    <row r="575" spans="1:16">
      <c r="A575" s="100"/>
      <c r="B575" s="85"/>
      <c r="C575" s="100" t="s">
        <v>96</v>
      </c>
      <c r="D575" s="80"/>
      <c r="E575" s="80"/>
      <c r="F575" s="80"/>
      <c r="G575" s="80"/>
      <c r="H575" s="80"/>
      <c r="I575" s="80"/>
      <c r="J575" s="80"/>
      <c r="K575" s="80"/>
      <c r="L575" s="80"/>
      <c r="M575" s="160"/>
      <c r="N575" s="160"/>
      <c r="O575" s="82"/>
      <c r="P575" s="86"/>
    </row>
    <row r="576" spans="1:16">
      <c r="A576" s="100"/>
      <c r="B576" s="85"/>
      <c r="C576" s="100" t="s">
        <v>93</v>
      </c>
      <c r="D576" s="80"/>
      <c r="E576" s="80"/>
      <c r="F576" s="80"/>
      <c r="G576" s="80"/>
      <c r="H576" s="80"/>
      <c r="I576" s="80"/>
      <c r="J576" s="80"/>
      <c r="K576" s="80"/>
      <c r="L576" s="80"/>
      <c r="M576" s="160"/>
      <c r="N576" s="160"/>
      <c r="O576" s="82"/>
      <c r="P576" s="86"/>
    </row>
    <row r="577" spans="1:16">
      <c r="A577" s="100"/>
      <c r="B577" s="85"/>
      <c r="C577" s="100" t="s">
        <v>97</v>
      </c>
      <c r="D577" s="80"/>
      <c r="E577" s="80"/>
      <c r="F577" s="80"/>
      <c r="G577" s="80"/>
      <c r="H577" s="80"/>
      <c r="I577" s="80"/>
      <c r="J577" s="80"/>
      <c r="K577" s="80"/>
      <c r="L577" s="80"/>
      <c r="M577" s="160"/>
      <c r="N577" s="160"/>
      <c r="O577" s="82"/>
      <c r="P577" s="86"/>
    </row>
    <row r="578" spans="1:16">
      <c r="A578" s="100"/>
      <c r="B578" s="85"/>
      <c r="C578" s="4" t="s">
        <v>136</v>
      </c>
      <c r="D578" s="80"/>
      <c r="E578" s="80"/>
      <c r="F578" s="80"/>
      <c r="G578" s="80"/>
      <c r="H578" s="80"/>
      <c r="I578" s="80"/>
      <c r="J578" s="80"/>
      <c r="K578" s="80"/>
      <c r="L578" s="80"/>
      <c r="M578" s="160"/>
      <c r="N578" s="160"/>
      <c r="O578" s="82"/>
      <c r="P578" s="86"/>
    </row>
    <row r="579" spans="1:16">
      <c r="A579" s="100"/>
      <c r="B579" s="85" t="s">
        <v>173</v>
      </c>
      <c r="C579" s="100" t="s">
        <v>102</v>
      </c>
      <c r="D579" s="80"/>
      <c r="E579" s="80"/>
      <c r="F579" s="80"/>
      <c r="G579" s="80"/>
      <c r="H579" s="80"/>
      <c r="I579" s="80"/>
      <c r="J579" s="80"/>
      <c r="K579" s="80"/>
      <c r="L579" s="80"/>
      <c r="M579" s="160"/>
      <c r="N579" s="160"/>
      <c r="O579" s="82"/>
      <c r="P579" s="86"/>
    </row>
    <row r="580" spans="1:16">
      <c r="A580" s="100"/>
      <c r="B580" s="85"/>
      <c r="C580" s="100" t="s">
        <v>98</v>
      </c>
      <c r="D580" s="80"/>
      <c r="E580" s="80"/>
      <c r="F580" s="80"/>
      <c r="G580" s="80"/>
      <c r="H580" s="80"/>
      <c r="I580" s="80"/>
      <c r="J580" s="80"/>
      <c r="K580" s="80"/>
      <c r="L580" s="80"/>
      <c r="M580" s="160"/>
      <c r="N580" s="160"/>
      <c r="O580" s="82"/>
      <c r="P580" s="86"/>
    </row>
    <row r="581" spans="1:16">
      <c r="A581" s="100"/>
      <c r="B581" s="85"/>
      <c r="C581" s="100" t="s">
        <v>99</v>
      </c>
      <c r="D581" s="80"/>
      <c r="E581" s="80"/>
      <c r="F581" s="80"/>
      <c r="G581" s="80"/>
      <c r="H581" s="80"/>
      <c r="I581" s="80"/>
      <c r="J581" s="80"/>
      <c r="K581" s="80"/>
      <c r="L581" s="80"/>
      <c r="M581" s="160"/>
      <c r="N581" s="160"/>
      <c r="O581" s="82"/>
      <c r="P581" s="86"/>
    </row>
    <row r="582" spans="1:16">
      <c r="A582" s="100"/>
      <c r="B582" s="85"/>
      <c r="C582" s="100" t="s">
        <v>83</v>
      </c>
      <c r="D582" s="80"/>
      <c r="E582" s="80"/>
      <c r="F582" s="80"/>
      <c r="G582" s="80"/>
      <c r="H582" s="80"/>
      <c r="I582" s="80"/>
      <c r="J582" s="80"/>
      <c r="K582" s="80"/>
      <c r="L582" s="80"/>
      <c r="M582" s="160"/>
      <c r="N582" s="160"/>
      <c r="O582" s="82"/>
      <c r="P582" s="86"/>
    </row>
    <row r="583" spans="1:16">
      <c r="A583" s="100"/>
      <c r="B583" s="85"/>
      <c r="C583" s="100" t="s">
        <v>84</v>
      </c>
      <c r="D583" s="80"/>
      <c r="E583" s="80"/>
      <c r="F583" s="80"/>
      <c r="G583" s="80"/>
      <c r="H583" s="80"/>
      <c r="I583" s="80"/>
      <c r="J583" s="80"/>
      <c r="K583" s="80"/>
      <c r="L583" s="80"/>
      <c r="M583" s="160"/>
      <c r="N583" s="160"/>
      <c r="O583" s="82"/>
      <c r="P583" s="86"/>
    </row>
    <row r="584" spans="1:16">
      <c r="A584" s="100"/>
      <c r="B584" s="85"/>
      <c r="C584" s="100" t="s">
        <v>85</v>
      </c>
      <c r="D584" s="80"/>
      <c r="E584" s="80"/>
      <c r="F584" s="80"/>
      <c r="G584" s="80"/>
      <c r="H584" s="80"/>
      <c r="I584" s="80"/>
      <c r="J584" s="80"/>
      <c r="K584" s="80"/>
      <c r="L584" s="80"/>
      <c r="M584" s="160"/>
      <c r="N584" s="160"/>
      <c r="O584" s="82"/>
      <c r="P584" s="86"/>
    </row>
    <row r="585" spans="1:16">
      <c r="A585" s="100"/>
      <c r="B585" s="85"/>
      <c r="C585" s="100" t="s">
        <v>86</v>
      </c>
      <c r="D585" s="80"/>
      <c r="E585" s="80"/>
      <c r="F585" s="80"/>
      <c r="G585" s="80"/>
      <c r="H585" s="80"/>
      <c r="I585" s="80"/>
      <c r="J585" s="80"/>
      <c r="K585" s="80"/>
      <c r="L585" s="80"/>
      <c r="M585" s="160"/>
      <c r="N585" s="160"/>
      <c r="O585" s="82"/>
      <c r="P585" s="86"/>
    </row>
    <row r="586" spans="1:16">
      <c r="A586" s="100"/>
      <c r="B586" s="85"/>
      <c r="C586" s="100" t="s">
        <v>87</v>
      </c>
      <c r="D586" s="80"/>
      <c r="E586" s="80"/>
      <c r="F586" s="80"/>
      <c r="G586" s="80"/>
      <c r="H586" s="80"/>
      <c r="I586" s="80"/>
      <c r="J586" s="80"/>
      <c r="K586" s="80"/>
      <c r="L586" s="80"/>
      <c r="M586" s="160"/>
      <c r="N586" s="160"/>
      <c r="O586" s="82"/>
      <c r="P586" s="86"/>
    </row>
    <row r="587" spans="1:16">
      <c r="A587" s="100"/>
      <c r="B587" s="85"/>
      <c r="C587" s="100" t="s">
        <v>88</v>
      </c>
      <c r="D587" s="80"/>
      <c r="E587" s="80"/>
      <c r="F587" s="80"/>
      <c r="G587" s="80"/>
      <c r="H587" s="80"/>
      <c r="I587" s="80"/>
      <c r="J587" s="80"/>
      <c r="K587" s="80"/>
      <c r="L587" s="80"/>
      <c r="M587" s="160"/>
      <c r="N587" s="160"/>
      <c r="O587" s="82"/>
      <c r="P587" s="86"/>
    </row>
    <row r="588" spans="1:16">
      <c r="A588" s="100"/>
      <c r="B588" s="85"/>
      <c r="C588" s="100" t="s">
        <v>89</v>
      </c>
      <c r="D588" s="80"/>
      <c r="E588" s="80"/>
      <c r="F588" s="80"/>
      <c r="G588" s="80"/>
      <c r="H588" s="80"/>
      <c r="I588" s="80"/>
      <c r="J588" s="80"/>
      <c r="K588" s="80"/>
      <c r="L588" s="80"/>
      <c r="M588" s="160"/>
      <c r="N588" s="160"/>
      <c r="O588" s="82"/>
      <c r="P588" s="86"/>
    </row>
    <row r="589" spans="1:16">
      <c r="A589" s="100"/>
      <c r="B589" s="85"/>
      <c r="C589" s="100" t="s">
        <v>90</v>
      </c>
      <c r="D589" s="80"/>
      <c r="E589" s="80"/>
      <c r="F589" s="80"/>
      <c r="G589" s="80"/>
      <c r="H589" s="80"/>
      <c r="I589" s="80"/>
      <c r="J589" s="80"/>
      <c r="K589" s="80"/>
      <c r="L589" s="80"/>
      <c r="M589" s="160"/>
      <c r="N589" s="160"/>
      <c r="O589" s="82"/>
      <c r="P589" s="86"/>
    </row>
    <row r="590" spans="1:16">
      <c r="A590" s="100"/>
      <c r="B590" s="85"/>
      <c r="C590" s="100" t="s">
        <v>91</v>
      </c>
      <c r="D590" s="80"/>
      <c r="E590" s="80"/>
      <c r="F590" s="80"/>
      <c r="G590" s="80"/>
      <c r="H590" s="80"/>
      <c r="I590" s="80"/>
      <c r="J590" s="80"/>
      <c r="K590" s="80"/>
      <c r="L590" s="80"/>
      <c r="M590" s="160"/>
      <c r="N590" s="160"/>
      <c r="O590" s="82"/>
      <c r="P590" s="86"/>
    </row>
    <row r="591" spans="1:16">
      <c r="A591" s="100"/>
      <c r="B591" s="85"/>
      <c r="C591" s="100" t="s">
        <v>92</v>
      </c>
      <c r="D591" s="80"/>
      <c r="E591" s="80"/>
      <c r="F591" s="80"/>
      <c r="G591" s="80"/>
      <c r="H591" s="80"/>
      <c r="I591" s="80"/>
      <c r="J591" s="80"/>
      <c r="K591" s="80"/>
      <c r="L591" s="80"/>
      <c r="M591" s="160"/>
      <c r="N591" s="160"/>
      <c r="O591" s="82"/>
      <c r="P591" s="86"/>
    </row>
    <row r="592" spans="1:16">
      <c r="A592" s="100"/>
      <c r="B592" s="85"/>
      <c r="C592" s="100" t="s">
        <v>95</v>
      </c>
      <c r="D592" s="80"/>
      <c r="E592" s="80"/>
      <c r="F592" s="80"/>
      <c r="G592" s="80"/>
      <c r="H592" s="80"/>
      <c r="I592" s="80"/>
      <c r="J592" s="80"/>
      <c r="K592" s="80"/>
      <c r="L592" s="80"/>
      <c r="M592" s="160"/>
      <c r="N592" s="160"/>
      <c r="O592" s="82"/>
      <c r="P592" s="86"/>
    </row>
    <row r="593" spans="1:16">
      <c r="A593" s="100"/>
      <c r="B593" s="85"/>
      <c r="C593" s="100" t="s">
        <v>96</v>
      </c>
      <c r="D593" s="80"/>
      <c r="E593" s="80"/>
      <c r="F593" s="80"/>
      <c r="G593" s="80"/>
      <c r="H593" s="80"/>
      <c r="I593" s="80"/>
      <c r="J593" s="80"/>
      <c r="K593" s="80"/>
      <c r="L593" s="80"/>
      <c r="M593" s="160"/>
      <c r="N593" s="160"/>
      <c r="O593" s="82"/>
      <c r="P593" s="86"/>
    </row>
    <row r="594" spans="1:16">
      <c r="A594" s="100"/>
      <c r="B594" s="85"/>
      <c r="C594" s="100" t="s">
        <v>93</v>
      </c>
      <c r="D594" s="80"/>
      <c r="E594" s="80"/>
      <c r="F594" s="80"/>
      <c r="G594" s="80"/>
      <c r="H594" s="80"/>
      <c r="I594" s="80"/>
      <c r="J594" s="80"/>
      <c r="K594" s="80"/>
      <c r="L594" s="80"/>
      <c r="M594" s="160"/>
      <c r="N594" s="160"/>
      <c r="O594" s="82"/>
      <c r="P594" s="86"/>
    </row>
    <row r="595" spans="1:16">
      <c r="A595" s="100"/>
      <c r="B595" s="85"/>
      <c r="C595" s="100" t="s">
        <v>97</v>
      </c>
      <c r="D595" s="80"/>
      <c r="E595" s="80"/>
      <c r="F595" s="80"/>
      <c r="G595" s="80"/>
      <c r="H595" s="80"/>
      <c r="I595" s="80"/>
      <c r="J595" s="80"/>
      <c r="K595" s="80"/>
      <c r="L595" s="80"/>
      <c r="M595" s="160"/>
      <c r="N595" s="160"/>
      <c r="O595" s="82"/>
      <c r="P595" s="86"/>
    </row>
    <row r="596" spans="1:16">
      <c r="A596" s="100"/>
      <c r="B596" s="101"/>
      <c r="C596" s="45" t="s">
        <v>136</v>
      </c>
      <c r="D596" s="87"/>
      <c r="E596" s="87"/>
      <c r="F596" s="87"/>
      <c r="G596" s="87"/>
      <c r="H596" s="87"/>
      <c r="I596" s="87"/>
      <c r="J596" s="87"/>
      <c r="K596" s="87"/>
      <c r="L596" s="87"/>
      <c r="M596" s="161"/>
      <c r="N596" s="160"/>
      <c r="O596" s="104"/>
      <c r="P596" s="88"/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Register</vt:lpstr>
      <vt:lpstr>MM</vt:lpstr>
      <vt:lpstr>LL</vt:lpstr>
      <vt:lpstr>OO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Adkin, Amie (AHVLA)</cp:lastModifiedBy>
  <dcterms:created xsi:type="dcterms:W3CDTF">2012-02-22T08:52:35Z</dcterms:created>
  <dcterms:modified xsi:type="dcterms:W3CDTF">2014-09-05T09:39:30Z</dcterms:modified>
</cp:coreProperties>
</file>