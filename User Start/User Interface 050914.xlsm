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15180" windowHeight="8070"/>
  </bookViews>
  <sheets>
    <sheet name="Form" sheetId="3" r:id="rId1"/>
    <sheet name="Dropdown" sheetId="1" r:id="rId2"/>
    <sheet name="Graphs" sheetId="5" r:id="rId3"/>
  </sheets>
  <definedNames>
    <definedName name="Age">Dropdown!$F$4:$F$13</definedName>
    <definedName name="End">Dropdown!$E$4:$E$13</definedName>
    <definedName name="Increase">Dropdown!$O$4:$O$6</definedName>
    <definedName name="Interval">Dropdown!$M$4:$M$6</definedName>
    <definedName name="MemberStates">Dropdown!$B$5:$C$44</definedName>
    <definedName name="Percentage">Dropdown!$H$4:$H$104</definedName>
    <definedName name="Prevalence">Dropdown!$J$4:$J$6</definedName>
    <definedName name="Strains">Dropdown!$Q$4:$Q$8</definedName>
  </definedNames>
  <calcPr calcId="145621"/>
</workbook>
</file>

<file path=xl/calcChain.xml><?xml version="1.0" encoding="utf-8"?>
<calcChain xmlns="http://schemas.openxmlformats.org/spreadsheetml/2006/main">
  <c r="H40" i="1" l="1"/>
  <c r="H39" i="1" s="1"/>
  <c r="H38" i="1" s="1"/>
  <c r="H37" i="1" s="1"/>
  <c r="H36" i="1" s="1"/>
  <c r="H35" i="1" s="1"/>
  <c r="H34" i="1" s="1"/>
  <c r="H33" i="1" s="1"/>
  <c r="H32" i="1" s="1"/>
  <c r="H31" i="1" s="1"/>
  <c r="H30" i="1" s="1"/>
  <c r="H29" i="1" s="1"/>
  <c r="H28" i="1" s="1"/>
  <c r="H27" i="1" s="1"/>
  <c r="H26" i="1" s="1"/>
  <c r="H25" i="1" s="1"/>
  <c r="H24" i="1" s="1"/>
  <c r="H23" i="1" s="1"/>
  <c r="H22" i="1" s="1"/>
  <c r="H21" i="1" s="1"/>
  <c r="H20" i="1" s="1"/>
  <c r="H19" i="1" s="1"/>
  <c r="H18" i="1" s="1"/>
  <c r="H17" i="1" s="1"/>
  <c r="H16" i="1" s="1"/>
  <c r="H15" i="1" s="1"/>
  <c r="H14" i="1" s="1"/>
  <c r="H13" i="1" s="1"/>
  <c r="H12" i="1" s="1"/>
  <c r="H11" i="1" s="1"/>
  <c r="H10" i="1" s="1"/>
  <c r="H9" i="1" s="1"/>
  <c r="H8" i="1" s="1"/>
  <c r="H7" i="1" s="1"/>
  <c r="H6" i="1" s="1"/>
  <c r="H5" i="1" s="1"/>
  <c r="H4" i="1" s="1"/>
  <c r="A9" i="5" l="1"/>
  <c r="A10" i="5" s="1"/>
  <c r="B8" i="5"/>
  <c r="C8" i="5" s="1"/>
  <c r="D8" i="5"/>
  <c r="E8" i="5" l="1"/>
  <c r="F8" i="5"/>
  <c r="B9" i="5"/>
  <c r="A11" i="5"/>
  <c r="B10" i="5"/>
  <c r="D9" i="5"/>
  <c r="F9" i="5"/>
  <c r="C9" i="5"/>
  <c r="E9" i="5"/>
  <c r="D10" i="5"/>
  <c r="F10" i="5"/>
  <c r="C10" i="5"/>
  <c r="E10" i="5"/>
  <c r="G8" i="5"/>
  <c r="A80" i="5"/>
  <c r="B80" i="5" s="1"/>
  <c r="B11" i="5" l="1"/>
  <c r="A12" i="5"/>
  <c r="A81" i="5"/>
  <c r="C80" i="5"/>
  <c r="A82" i="5"/>
  <c r="A13" i="5" l="1"/>
  <c r="B12" i="5"/>
  <c r="D11" i="5"/>
  <c r="C11" i="5"/>
  <c r="F11" i="5"/>
  <c r="E11" i="5"/>
  <c r="B81" i="5"/>
  <c r="B82" i="5"/>
  <c r="C82" i="5"/>
  <c r="C81" i="5"/>
  <c r="A83" i="5"/>
  <c r="F12" i="5" l="1"/>
  <c r="E12" i="5"/>
  <c r="D12" i="5"/>
  <c r="C12" i="5"/>
  <c r="B13" i="5"/>
  <c r="A14" i="5"/>
  <c r="B83" i="5"/>
  <c r="C83" i="5"/>
  <c r="A84" i="5"/>
  <c r="A15" i="5" l="1"/>
  <c r="B14" i="5"/>
  <c r="D13" i="5"/>
  <c r="C13" i="5"/>
  <c r="F13" i="5"/>
  <c r="E13" i="5"/>
  <c r="B84" i="5"/>
  <c r="C84" i="5"/>
  <c r="A85" i="5"/>
  <c r="F14" i="5" l="1"/>
  <c r="E14" i="5"/>
  <c r="D14" i="5"/>
  <c r="C14" i="5"/>
  <c r="B15" i="5"/>
  <c r="A16" i="5"/>
  <c r="B85" i="5"/>
  <c r="C85" i="5"/>
  <c r="A86" i="5"/>
  <c r="A17" i="5" l="1"/>
  <c r="B16" i="5"/>
  <c r="D15" i="5"/>
  <c r="C15" i="5"/>
  <c r="F15" i="5"/>
  <c r="E15" i="5"/>
  <c r="B86" i="5"/>
  <c r="C86" i="5"/>
  <c r="A87" i="5"/>
  <c r="F16" i="5" l="1"/>
  <c r="E16" i="5"/>
  <c r="D16" i="5"/>
  <c r="C16" i="5"/>
  <c r="B17" i="5"/>
  <c r="A18" i="5"/>
  <c r="B87" i="5"/>
  <c r="C87" i="5"/>
  <c r="A88" i="5"/>
  <c r="A19" i="5" l="1"/>
  <c r="B18" i="5"/>
  <c r="D17" i="5"/>
  <c r="C17" i="5"/>
  <c r="F17" i="5"/>
  <c r="E17" i="5"/>
  <c r="B88" i="5"/>
  <c r="C88" i="5"/>
  <c r="A89" i="5"/>
  <c r="F18" i="5" l="1"/>
  <c r="E18" i="5"/>
  <c r="D18" i="5"/>
  <c r="C18" i="5"/>
  <c r="B19" i="5"/>
  <c r="A20" i="5"/>
  <c r="B89" i="5"/>
  <c r="C89" i="5"/>
  <c r="A90" i="5"/>
  <c r="A21" i="5" l="1"/>
  <c r="B20" i="5"/>
  <c r="D19" i="5"/>
  <c r="C19" i="5"/>
  <c r="F19" i="5"/>
  <c r="E19" i="5"/>
  <c r="B90" i="5"/>
  <c r="C90" i="5"/>
  <c r="A91" i="5"/>
  <c r="F20" i="5" l="1"/>
  <c r="E20" i="5"/>
  <c r="D20" i="5"/>
  <c r="C20" i="5"/>
  <c r="B21" i="5"/>
  <c r="A22" i="5"/>
  <c r="B91" i="5"/>
  <c r="C91" i="5"/>
  <c r="A92" i="5"/>
  <c r="D21" i="5" l="1"/>
  <c r="C21" i="5"/>
  <c r="F21" i="5"/>
  <c r="E21" i="5"/>
  <c r="A23" i="5"/>
  <c r="B22" i="5"/>
  <c r="B92" i="5"/>
  <c r="C92" i="5"/>
  <c r="A93" i="5"/>
  <c r="B23" i="5" l="1"/>
  <c r="A24" i="5"/>
  <c r="D22" i="5"/>
  <c r="C22" i="5"/>
  <c r="F22" i="5"/>
  <c r="E22" i="5"/>
  <c r="B93" i="5"/>
  <c r="C93" i="5"/>
  <c r="A94" i="5"/>
  <c r="A25" i="5" l="1"/>
  <c r="B24" i="5"/>
  <c r="D23" i="5"/>
  <c r="C23" i="5"/>
  <c r="F23" i="5"/>
  <c r="E23" i="5"/>
  <c r="B94" i="5"/>
  <c r="C94" i="5"/>
  <c r="A95" i="5"/>
  <c r="D24" i="5" l="1"/>
  <c r="C24" i="5"/>
  <c r="F24" i="5"/>
  <c r="E24" i="5"/>
  <c r="B25" i="5"/>
  <c r="A26" i="5"/>
  <c r="B95" i="5"/>
  <c r="C95" i="5"/>
  <c r="A96" i="5"/>
  <c r="A27" i="5" l="1"/>
  <c r="B26" i="5"/>
  <c r="D25" i="5"/>
  <c r="C25" i="5"/>
  <c r="F25" i="5"/>
  <c r="E25" i="5"/>
  <c r="B96" i="5"/>
  <c r="C96" i="5"/>
  <c r="A97" i="5"/>
  <c r="D26" i="5" l="1"/>
  <c r="C26" i="5"/>
  <c r="F26" i="5"/>
  <c r="E26" i="5"/>
  <c r="B27" i="5"/>
  <c r="A28" i="5"/>
  <c r="B97" i="5"/>
  <c r="C97" i="5"/>
  <c r="A98" i="5"/>
  <c r="D27" i="5" l="1"/>
  <c r="C27" i="5"/>
  <c r="F27" i="5"/>
  <c r="E27" i="5"/>
  <c r="A29" i="5"/>
  <c r="B28" i="5"/>
  <c r="B98" i="5"/>
  <c r="C98" i="5"/>
  <c r="A99" i="5"/>
  <c r="B29" i="5" l="1"/>
  <c r="A30" i="5"/>
  <c r="D28" i="5"/>
  <c r="C28" i="5"/>
  <c r="F28" i="5"/>
  <c r="E28" i="5"/>
  <c r="B99" i="5"/>
  <c r="C99" i="5"/>
  <c r="A100" i="5"/>
  <c r="A31" i="5" l="1"/>
  <c r="B30" i="5"/>
  <c r="D29" i="5"/>
  <c r="C29" i="5"/>
  <c r="F29" i="5"/>
  <c r="E29" i="5"/>
  <c r="B100" i="5"/>
  <c r="C100" i="5"/>
  <c r="A101" i="5"/>
  <c r="D30" i="5" l="1"/>
  <c r="C30" i="5"/>
  <c r="F30" i="5"/>
  <c r="E30" i="5"/>
  <c r="B31" i="5"/>
  <c r="A32" i="5"/>
  <c r="B101" i="5"/>
  <c r="C101" i="5"/>
  <c r="A102" i="5"/>
  <c r="A33" i="5" l="1"/>
  <c r="B32" i="5"/>
  <c r="D31" i="5"/>
  <c r="C31" i="5"/>
  <c r="F31" i="5"/>
  <c r="E31" i="5"/>
  <c r="B102" i="5"/>
  <c r="C102" i="5"/>
  <c r="A103" i="5"/>
  <c r="A104" i="5" s="1"/>
  <c r="A105" i="5" l="1"/>
  <c r="B104" i="5"/>
  <c r="C104" i="5"/>
  <c r="D32" i="5"/>
  <c r="C32" i="5"/>
  <c r="F32" i="5"/>
  <c r="E32" i="5"/>
  <c r="B33" i="5"/>
  <c r="A34" i="5"/>
  <c r="B103" i="5"/>
  <c r="C103" i="5"/>
  <c r="A106" i="5" l="1"/>
  <c r="B105" i="5"/>
  <c r="C105" i="5"/>
  <c r="A35" i="5"/>
  <c r="B34" i="5"/>
  <c r="D33" i="5"/>
  <c r="C33" i="5"/>
  <c r="F33" i="5"/>
  <c r="E33" i="5"/>
  <c r="G9" i="5"/>
  <c r="H8" i="5"/>
  <c r="H9" i="5"/>
  <c r="A107" i="5" l="1"/>
  <c r="B106" i="5"/>
  <c r="C106" i="5"/>
  <c r="D34" i="5"/>
  <c r="C34" i="5"/>
  <c r="F34" i="5"/>
  <c r="E34" i="5"/>
  <c r="B35" i="5"/>
  <c r="A36" i="5"/>
  <c r="H10" i="5"/>
  <c r="A108" i="5" l="1"/>
  <c r="B107" i="5"/>
  <c r="C107" i="5"/>
  <c r="A37" i="5"/>
  <c r="B36" i="5"/>
  <c r="D35" i="5"/>
  <c r="C35" i="5"/>
  <c r="F35" i="5"/>
  <c r="E35" i="5"/>
  <c r="H11" i="5"/>
  <c r="G10" i="5"/>
  <c r="A109" i="5" l="1"/>
  <c r="B108" i="5"/>
  <c r="C108" i="5"/>
  <c r="D36" i="5"/>
  <c r="C36" i="5"/>
  <c r="F36" i="5"/>
  <c r="E36" i="5"/>
  <c r="B37" i="5"/>
  <c r="A38" i="5"/>
  <c r="H12" i="5"/>
  <c r="G11" i="5"/>
  <c r="A110" i="5" l="1"/>
  <c r="B109" i="5"/>
  <c r="C109" i="5"/>
  <c r="A39" i="5"/>
  <c r="B38" i="5"/>
  <c r="D37" i="5"/>
  <c r="C37" i="5"/>
  <c r="F37" i="5"/>
  <c r="E37" i="5"/>
  <c r="G12" i="5"/>
  <c r="H13" i="5"/>
  <c r="B110" i="5" l="1"/>
  <c r="A111" i="5"/>
  <c r="C110" i="5"/>
  <c r="D38" i="5"/>
  <c r="C38" i="5"/>
  <c r="F38" i="5"/>
  <c r="E38" i="5"/>
  <c r="B39" i="5"/>
  <c r="A40" i="5"/>
  <c r="H14" i="5"/>
  <c r="G13" i="5"/>
  <c r="A112" i="5" l="1"/>
  <c r="B111" i="5"/>
  <c r="C111" i="5"/>
  <c r="A41" i="5"/>
  <c r="B40" i="5"/>
  <c r="D39" i="5"/>
  <c r="C39" i="5"/>
  <c r="F39" i="5"/>
  <c r="E39" i="5"/>
  <c r="G14" i="5"/>
  <c r="H15" i="5"/>
  <c r="A113" i="5" l="1"/>
  <c r="B112" i="5"/>
  <c r="C112" i="5"/>
  <c r="D40" i="5"/>
  <c r="C40" i="5"/>
  <c r="F40" i="5"/>
  <c r="E40" i="5"/>
  <c r="B41" i="5"/>
  <c r="A42" i="5"/>
  <c r="G15" i="5"/>
  <c r="H16" i="5"/>
  <c r="A114" i="5" l="1"/>
  <c r="B113" i="5"/>
  <c r="C113" i="5"/>
  <c r="A43" i="5"/>
  <c r="B42" i="5"/>
  <c r="D41" i="5"/>
  <c r="C41" i="5"/>
  <c r="F41" i="5"/>
  <c r="E41" i="5"/>
  <c r="G16" i="5"/>
  <c r="H17" i="5"/>
  <c r="A115" i="5" l="1"/>
  <c r="B114" i="5"/>
  <c r="C114" i="5"/>
  <c r="D42" i="5"/>
  <c r="C42" i="5"/>
  <c r="F42" i="5"/>
  <c r="E42" i="5"/>
  <c r="B43" i="5"/>
  <c r="A44" i="5"/>
  <c r="H18" i="5"/>
  <c r="G17" i="5"/>
  <c r="A116" i="5" l="1"/>
  <c r="B115" i="5"/>
  <c r="C115" i="5"/>
  <c r="A45" i="5"/>
  <c r="B44" i="5"/>
  <c r="D43" i="5"/>
  <c r="C43" i="5"/>
  <c r="F43" i="5"/>
  <c r="E43" i="5"/>
  <c r="H19" i="5"/>
  <c r="G18" i="5"/>
  <c r="B116" i="5" l="1"/>
  <c r="C116" i="5"/>
  <c r="A117" i="5"/>
  <c r="D44" i="5"/>
  <c r="C44" i="5"/>
  <c r="F44" i="5"/>
  <c r="E44" i="5"/>
  <c r="B45" i="5"/>
  <c r="A46" i="5"/>
  <c r="H20" i="5"/>
  <c r="G19" i="5"/>
  <c r="A118" i="5" l="1"/>
  <c r="B117" i="5"/>
  <c r="C117" i="5"/>
  <c r="A47" i="5"/>
  <c r="B46" i="5"/>
  <c r="D45" i="5"/>
  <c r="C45" i="5"/>
  <c r="F45" i="5"/>
  <c r="E45" i="5"/>
  <c r="G20" i="5"/>
  <c r="H21" i="5"/>
  <c r="B118" i="5" l="1"/>
  <c r="A119" i="5"/>
  <c r="C118" i="5"/>
  <c r="D46" i="5"/>
  <c r="C46" i="5"/>
  <c r="F46" i="5"/>
  <c r="E46" i="5"/>
  <c r="B47" i="5"/>
  <c r="A48" i="5"/>
  <c r="H22" i="5"/>
  <c r="G21" i="5"/>
  <c r="B119" i="5" l="1"/>
  <c r="C119" i="5"/>
  <c r="A49" i="5"/>
  <c r="B48" i="5"/>
  <c r="D47" i="5"/>
  <c r="C47" i="5"/>
  <c r="F47" i="5"/>
  <c r="E47" i="5"/>
  <c r="H23" i="5"/>
  <c r="G22" i="5"/>
  <c r="F48" i="5" l="1"/>
  <c r="C48" i="5"/>
  <c r="E48" i="5"/>
  <c r="D48" i="5"/>
  <c r="B49" i="5"/>
  <c r="A50" i="5"/>
  <c r="H24" i="5"/>
  <c r="G23" i="5"/>
  <c r="A51" i="5" l="1"/>
  <c r="B50" i="5"/>
  <c r="C49" i="5"/>
  <c r="E49" i="5"/>
  <c r="F49" i="5"/>
  <c r="D49" i="5"/>
  <c r="G24" i="5"/>
  <c r="H25" i="5"/>
  <c r="F50" i="5" l="1"/>
  <c r="C50" i="5"/>
  <c r="E50" i="5"/>
  <c r="D50" i="5"/>
  <c r="B51" i="5"/>
  <c r="A52" i="5"/>
  <c r="H26" i="5"/>
  <c r="G25" i="5"/>
  <c r="A53" i="5" l="1"/>
  <c r="B52" i="5"/>
  <c r="C51" i="5"/>
  <c r="E51" i="5"/>
  <c r="F51" i="5"/>
  <c r="D51" i="5"/>
  <c r="G26" i="5"/>
  <c r="H27" i="5"/>
  <c r="B53" i="5" l="1"/>
  <c r="A54" i="5"/>
  <c r="D52" i="5"/>
  <c r="E52" i="5"/>
  <c r="C52" i="5"/>
  <c r="F52" i="5"/>
  <c r="G27" i="5"/>
  <c r="H28" i="5"/>
  <c r="A55" i="5" l="1"/>
  <c r="B54" i="5"/>
  <c r="D53" i="5"/>
  <c r="E53" i="5"/>
  <c r="C53" i="5"/>
  <c r="F53" i="5"/>
  <c r="H29" i="5"/>
  <c r="G28" i="5"/>
  <c r="H30" i="5"/>
  <c r="D54" i="5" l="1"/>
  <c r="E54" i="5"/>
  <c r="C54" i="5"/>
  <c r="F54" i="5"/>
  <c r="B55" i="5"/>
  <c r="A56" i="5"/>
  <c r="G29" i="5"/>
  <c r="A57" i="5" l="1"/>
  <c r="B56" i="5"/>
  <c r="D55" i="5"/>
  <c r="E55" i="5"/>
  <c r="C55" i="5"/>
  <c r="F55" i="5"/>
  <c r="H31" i="5"/>
  <c r="G30" i="5"/>
  <c r="D56" i="5" l="1"/>
  <c r="E56" i="5"/>
  <c r="C56" i="5"/>
  <c r="F56" i="5"/>
  <c r="B57" i="5"/>
  <c r="A58" i="5"/>
  <c r="H32" i="5"/>
  <c r="G31" i="5"/>
  <c r="A59" i="5" l="1"/>
  <c r="B58" i="5"/>
  <c r="D57" i="5"/>
  <c r="E57" i="5"/>
  <c r="C57" i="5"/>
  <c r="F57" i="5"/>
  <c r="G32" i="5"/>
  <c r="H33" i="5"/>
  <c r="D58" i="5" l="1"/>
  <c r="E58" i="5"/>
  <c r="C58" i="5"/>
  <c r="F58" i="5"/>
  <c r="B59" i="5"/>
  <c r="A60" i="5"/>
  <c r="H34" i="5"/>
  <c r="G33" i="5"/>
  <c r="A61" i="5" l="1"/>
  <c r="B60" i="5"/>
  <c r="D59" i="5"/>
  <c r="E59" i="5"/>
  <c r="C59" i="5"/>
  <c r="F59" i="5"/>
  <c r="H35" i="5"/>
  <c r="G34" i="5"/>
  <c r="D60" i="5" l="1"/>
  <c r="E60" i="5"/>
  <c r="C60" i="5"/>
  <c r="F60" i="5"/>
  <c r="B61" i="5"/>
  <c r="A62" i="5"/>
  <c r="H36" i="5"/>
  <c r="G35" i="5"/>
  <c r="A63" i="5" l="1"/>
  <c r="B62" i="5"/>
  <c r="D61" i="5"/>
  <c r="E61" i="5"/>
  <c r="C61" i="5"/>
  <c r="F61" i="5"/>
  <c r="H37" i="5"/>
  <c r="G36" i="5"/>
  <c r="D62" i="5" l="1"/>
  <c r="E62" i="5"/>
  <c r="C62" i="5"/>
  <c r="F62" i="5"/>
  <c r="B63" i="5"/>
  <c r="A64" i="5"/>
  <c r="H38" i="5"/>
  <c r="G37" i="5"/>
  <c r="A65" i="5" l="1"/>
  <c r="B64" i="5"/>
  <c r="D63" i="5"/>
  <c r="E63" i="5"/>
  <c r="C63" i="5"/>
  <c r="F63" i="5"/>
  <c r="H39" i="5"/>
  <c r="G38" i="5"/>
  <c r="D64" i="5" l="1"/>
  <c r="E64" i="5"/>
  <c r="C64" i="5"/>
  <c r="F64" i="5"/>
  <c r="B65" i="5"/>
  <c r="A66" i="5"/>
  <c r="H40" i="5"/>
  <c r="G39" i="5"/>
  <c r="A67" i="5" l="1"/>
  <c r="B66" i="5"/>
  <c r="D65" i="5"/>
  <c r="E65" i="5"/>
  <c r="C65" i="5"/>
  <c r="F65" i="5"/>
  <c r="G40" i="5"/>
  <c r="H41" i="5"/>
  <c r="H42" i="5"/>
  <c r="D66" i="5" l="1"/>
  <c r="E66" i="5"/>
  <c r="C66" i="5"/>
  <c r="F66" i="5"/>
  <c r="B67" i="5"/>
  <c r="A68" i="5"/>
  <c r="B68" i="5" s="1"/>
  <c r="G41" i="5"/>
  <c r="D68" i="5" l="1"/>
  <c r="E68" i="5"/>
  <c r="C68" i="5"/>
  <c r="F68" i="5"/>
  <c r="D67" i="5"/>
  <c r="E67" i="5"/>
  <c r="C67" i="5"/>
  <c r="F67" i="5"/>
  <c r="G42" i="5"/>
  <c r="H43" i="5"/>
  <c r="H44" i="5" l="1"/>
  <c r="G43" i="5"/>
  <c r="H45" i="5" l="1"/>
  <c r="G44" i="5"/>
  <c r="H46" i="5" l="1"/>
  <c r="G45" i="5"/>
  <c r="G46" i="5" l="1"/>
  <c r="H47" i="5"/>
  <c r="G47" i="5" l="1"/>
  <c r="H48" i="5"/>
  <c r="H49" i="5" l="1"/>
  <c r="G48" i="5"/>
  <c r="H50" i="5" l="1"/>
  <c r="G49" i="5"/>
  <c r="H51" i="5" l="1"/>
  <c r="G50" i="5"/>
  <c r="H52" i="5" l="1"/>
  <c r="G51" i="5"/>
  <c r="H53" i="5"/>
  <c r="G52" i="5" l="1"/>
  <c r="H54" i="5" l="1"/>
  <c r="H55" i="5"/>
  <c r="G53" i="5"/>
  <c r="G54" i="5" l="1"/>
  <c r="G55" i="5" l="1"/>
  <c r="H56" i="5"/>
  <c r="H57" i="5" l="1"/>
  <c r="H58" i="5"/>
  <c r="G56" i="5"/>
  <c r="G57" i="5" l="1"/>
  <c r="H59" i="5" l="1"/>
  <c r="G58" i="5"/>
  <c r="H60" i="5" l="1"/>
  <c r="H61" i="5"/>
  <c r="G59" i="5"/>
  <c r="G60" i="5" l="1"/>
  <c r="H62" i="5"/>
  <c r="G61" i="5" l="1"/>
  <c r="H63" i="5" l="1"/>
  <c r="G62" i="5"/>
  <c r="G63" i="5" l="1"/>
  <c r="H64" i="5"/>
  <c r="G64" i="5" l="1"/>
  <c r="H65" i="5"/>
  <c r="H66" i="5"/>
  <c r="G65" i="5" l="1"/>
  <c r="H67" i="5" l="1"/>
  <c r="G66" i="5"/>
  <c r="G67" i="5" l="1"/>
  <c r="H68" i="5"/>
  <c r="G68" i="5" l="1"/>
</calcChain>
</file>

<file path=xl/sharedStrings.xml><?xml version="1.0" encoding="utf-8"?>
<sst xmlns="http://schemas.openxmlformats.org/spreadsheetml/2006/main" count="139" uniqueCount="135">
  <si>
    <t>Member States</t>
  </si>
  <si>
    <t>Age (months)</t>
  </si>
  <si>
    <t>&gt;24</t>
  </si>
  <si>
    <t>&gt;36</t>
  </si>
  <si>
    <t>&gt;48</t>
  </si>
  <si>
    <t>&gt;60</t>
  </si>
  <si>
    <t>&gt;72</t>
  </si>
  <si>
    <t>&gt;84</t>
  </si>
  <si>
    <t>&gt;96</t>
  </si>
  <si>
    <t>&gt;108</t>
  </si>
  <si>
    <t>&gt;120</t>
  </si>
  <si>
    <t>Percentage (%)</t>
  </si>
  <si>
    <t>Design prevalence</t>
  </si>
  <si>
    <t>Confidence interval</t>
  </si>
  <si>
    <t>EU25</t>
  </si>
  <si>
    <t>Initials</t>
  </si>
  <si>
    <t>ListIndex</t>
  </si>
  <si>
    <t>&gt;0</t>
  </si>
  <si>
    <t>Prevalence increase</t>
  </si>
  <si>
    <t>BSE type</t>
  </si>
  <si>
    <t>Type H</t>
  </si>
  <si>
    <t>Type L</t>
  </si>
  <si>
    <t>Type H and L</t>
  </si>
  <si>
    <t>End (months)</t>
  </si>
  <si>
    <t>No limit</t>
  </si>
  <si>
    <t>&lt;48</t>
  </si>
  <si>
    <t>&lt;60</t>
  </si>
  <si>
    <t>&lt;72</t>
  </si>
  <si>
    <t>&lt;84</t>
  </si>
  <si>
    <t>&lt;96</t>
  </si>
  <si>
    <t>&lt;108</t>
  </si>
  <si>
    <t>&lt;120</t>
  </si>
  <si>
    <t>&lt;132</t>
  </si>
  <si>
    <t>&lt;144</t>
  </si>
  <si>
    <t>alpha</t>
  </si>
  <si>
    <t>beta</t>
  </si>
  <si>
    <t>t</t>
  </si>
  <si>
    <t>Arnold et al</t>
  </si>
  <si>
    <t>User defined</t>
  </si>
  <si>
    <t>Test Sensitivity</t>
  </si>
  <si>
    <t>Months before clinical onset</t>
  </si>
  <si>
    <t>Age at onset</t>
  </si>
  <si>
    <t>C/U/L/H</t>
  </si>
  <si>
    <t>Probability density function</t>
  </si>
  <si>
    <t>mu (user)</t>
  </si>
  <si>
    <t>sigma (user)</t>
  </si>
  <si>
    <t>User</t>
  </si>
  <si>
    <t>Defined</t>
  </si>
  <si>
    <t>mu (defined)</t>
  </si>
  <si>
    <t>sigma (defined)</t>
  </si>
  <si>
    <t>Default</t>
  </si>
  <si>
    <t>Classical and Unknown</t>
  </si>
  <si>
    <t>C H L and Unknown</t>
  </si>
  <si>
    <t>-40.8</t>
  </si>
  <si>
    <t>1</t>
  </si>
  <si>
    <t>1.769</t>
  </si>
  <si>
    <t>0.3222</t>
  </si>
  <si>
    <t>AT</t>
  </si>
  <si>
    <t>Austria</t>
  </si>
  <si>
    <t>BE</t>
  </si>
  <si>
    <t>Belgium</t>
  </si>
  <si>
    <t>CY</t>
  </si>
  <si>
    <t>Cyprus</t>
  </si>
  <si>
    <t>CZ</t>
  </si>
  <si>
    <t>Czech Republic</t>
  </si>
  <si>
    <t>DK</t>
  </si>
  <si>
    <t>Denmark</t>
  </si>
  <si>
    <t>EE</t>
  </si>
  <si>
    <t>Estonia</t>
  </si>
  <si>
    <t>FI</t>
  </si>
  <si>
    <t>Finland</t>
  </si>
  <si>
    <t>FR</t>
  </si>
  <si>
    <t>France</t>
  </si>
  <si>
    <t>DE</t>
  </si>
  <si>
    <t>Germany</t>
  </si>
  <si>
    <t>EL</t>
  </si>
  <si>
    <t>Greece</t>
  </si>
  <si>
    <t>HU</t>
  </si>
  <si>
    <t>Hungary</t>
  </si>
  <si>
    <t>IE</t>
  </si>
  <si>
    <t>Ireland</t>
  </si>
  <si>
    <t>IT</t>
  </si>
  <si>
    <t>Italy</t>
  </si>
  <si>
    <t>LV</t>
  </si>
  <si>
    <t>Latvia</t>
  </si>
  <si>
    <t>LT</t>
  </si>
  <si>
    <t>Lithuania</t>
  </si>
  <si>
    <t>LU</t>
  </si>
  <si>
    <t>Luxembourg</t>
  </si>
  <si>
    <t>MT</t>
  </si>
  <si>
    <t>Malta</t>
  </si>
  <si>
    <t>NL</t>
  </si>
  <si>
    <t>Netherlands</t>
  </si>
  <si>
    <t>PL</t>
  </si>
  <si>
    <t>Poland</t>
  </si>
  <si>
    <t>PT</t>
  </si>
  <si>
    <t>Portugal</t>
  </si>
  <si>
    <t>SK</t>
  </si>
  <si>
    <t>Slovakia</t>
  </si>
  <si>
    <t>SI</t>
  </si>
  <si>
    <t>Slovenia</t>
  </si>
  <si>
    <t>ES</t>
  </si>
  <si>
    <t>Spain</t>
  </si>
  <si>
    <t>SE</t>
  </si>
  <si>
    <t>Sweden</t>
  </si>
  <si>
    <t>UK</t>
  </si>
  <si>
    <t>United Kingdom</t>
  </si>
  <si>
    <t>NO</t>
  </si>
  <si>
    <t>Norway</t>
  </si>
  <si>
    <t>BG</t>
  </si>
  <si>
    <t>Bulgaria</t>
  </si>
  <si>
    <t>RO</t>
  </si>
  <si>
    <t>Romania</t>
  </si>
  <si>
    <t>CH</t>
  </si>
  <si>
    <t>Switzerland</t>
  </si>
  <si>
    <t>HR</t>
  </si>
  <si>
    <t>Croatia</t>
  </si>
  <si>
    <t>FYRM</t>
  </si>
  <si>
    <t>Former Yugoslave Republic of Macedonia</t>
  </si>
  <si>
    <t>IS</t>
  </si>
  <si>
    <t>Iceland</t>
  </si>
  <si>
    <t>TR</t>
  </si>
  <si>
    <t>Turkey</t>
  </si>
  <si>
    <t>ALB</t>
  </si>
  <si>
    <t>Albania</t>
  </si>
  <si>
    <t>BIH</t>
  </si>
  <si>
    <t>Bosnia and Herzegovina</t>
  </si>
  <si>
    <t>KS</t>
  </si>
  <si>
    <t>Kosovo under UN Security Council Resolution 1244</t>
  </si>
  <si>
    <t>Number of cases</t>
  </si>
  <si>
    <t>EU27</t>
  </si>
  <si>
    <t>MM</t>
  </si>
  <si>
    <t>LL</t>
  </si>
  <si>
    <t>Example 1</t>
  </si>
  <si>
    <t>Example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</si>
</sst>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indexed="10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xfId="0"/>
    <xf numFmtId="3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0" fontId="3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0" fontId="0" fillId="2" borderId="0" xfId="0" applyFill="1"/>
    <xf numFmtId="0" fontId="1" fillId="2" borderId="0" xfId="0" applyFont="1" applyFill="1"/>
    <xf numFmtId="165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7189866546417"/>
          <c:y val="0.12972645997375329"/>
          <c:w val="0.60323418437730747"/>
          <c:h val="0.65636934055118112"/>
        </c:manualLayout>
      </c:layout>
      <c:lineChart>
        <c:grouping val="standard"/>
        <c:varyColors val="0"/>
        <c:ser>
          <c:idx val="3"/>
          <c:order val="0"/>
          <c:tx>
            <c:strRef>
              <c:f>Graphs!$G$7</c:f>
              <c:strCache>
                <c:ptCount val="1"/>
                <c:pt idx="0">
                  <c:v>User defined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Graphs!$A$8:$A$68</c:f>
              <c:numCache>
                <c:formatCode>General</c:formatCode>
                <c:ptCount val="6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</c:numCache>
            </c:numRef>
          </c:cat>
          <c:val>
            <c:numRef>
              <c:f>Graphs!$G$8:$G$68</c:f>
              <c:numCache>
                <c:formatCode>General</c:formatCode>
                <c:ptCount val="61"/>
                <c:pt idx="0">
                  <c:v>0.7310585786300049</c:v>
                </c:pt>
                <c:pt idx="1">
                  <c:v>0.5793242521487495</c:v>
                </c:pt>
                <c:pt idx="2">
                  <c:v>0.41095956594133498</c:v>
                </c:pt>
                <c:pt idx="3">
                  <c:v>0.261149993915751</c:v>
                </c:pt>
                <c:pt idx="4">
                  <c:v>0.15187116365665931</c:v>
                </c:pt>
                <c:pt idx="5">
                  <c:v>8.3172696493922421E-2</c:v>
                </c:pt>
                <c:pt idx="6">
                  <c:v>4.3939815396141356E-2</c:v>
                </c:pt>
                <c:pt idx="7">
                  <c:v>2.2753943462804016E-2</c:v>
                </c:pt>
                <c:pt idx="8">
                  <c:v>1.1658416554833108E-2</c:v>
                </c:pt>
                <c:pt idx="9">
                  <c:v>5.9405221983403755E-3</c:v>
                </c:pt>
                <c:pt idx="10">
                  <c:v>3.0184163247084271E-3</c:v>
                </c:pt>
                <c:pt idx="11">
                  <c:v>1.5314617070032875E-3</c:v>
                </c:pt>
                <c:pt idx="12">
                  <c:v>7.7645120827084485E-4</c:v>
                </c:pt>
                <c:pt idx="13">
                  <c:v>3.935141263264831E-4</c:v>
                </c:pt>
                <c:pt idx="14">
                  <c:v>1.9939965721107048E-4</c:v>
                </c:pt>
                <c:pt idx="15">
                  <c:v>1.0102919390777272E-4</c:v>
                </c:pt>
                <c:pt idx="16">
                  <c:v>5.1185657763453912E-5</c:v>
                </c:pt>
                <c:pt idx="17">
                  <c:v>2.593217888309001E-5</c:v>
                </c:pt>
                <c:pt idx="18">
                  <c:v>1.3137850563419369E-5</c:v>
                </c:pt>
                <c:pt idx="19">
                  <c:v>6.655901482089745E-6</c:v>
                </c:pt>
                <c:pt idx="20">
                  <c:v>3.3720038636907742E-6</c:v>
                </c:pt>
                <c:pt idx="21">
                  <c:v>1.708317297777562E-6</c:v>
                </c:pt>
                <c:pt idx="22">
                  <c:v>8.6546330086601366E-7</c:v>
                </c:pt>
                <c:pt idx="23">
                  <c:v>4.3845860171150003E-7</c:v>
                </c:pt>
                <c:pt idx="24">
                  <c:v>2.221306261289815E-7</c:v>
                </c:pt>
                <c:pt idx="25">
                  <c:v>1.125351620550946E-7</c:v>
                </c:pt>
                <c:pt idx="26">
                  <c:v>5.7012228501212411E-8</c:v>
                </c:pt>
                <c:pt idx="27">
                  <c:v>2.8883364543800239E-8</c:v>
                </c:pt>
                <c:pt idx="28">
                  <c:v>1.4632803483104657E-8</c:v>
                </c:pt>
                <c:pt idx="29">
                  <c:v>7.4132269440075408E-9</c:v>
                </c:pt>
                <c:pt idx="30">
                  <c:v>3.7556667518332294E-9</c:v>
                </c:pt>
                <c:pt idx="31">
                  <c:v>1.902684597666835E-9</c:v>
                </c:pt>
                <c:pt idx="32">
                  <c:v>9.6393234919519785E-10</c:v>
                </c:pt>
                <c:pt idx="33">
                  <c:v>4.8834450782541933E-10</c:v>
                </c:pt>
                <c:pt idx="34">
                  <c:v>2.4740362585237686E-10</c:v>
                </c:pt>
                <c:pt idx="35">
                  <c:v>1.2533888084497275E-10</c:v>
                </c:pt>
                <c:pt idx="36">
                  <c:v>6.3498806844075682E-11</c:v>
                </c:pt>
                <c:pt idx="37">
                  <c:v>3.2169574543156876E-11</c:v>
                </c:pt>
                <c:pt idx="38">
                  <c:v>1.6297653100993512E-11</c:v>
                </c:pt>
                <c:pt idx="39">
                  <c:v>8.2566679967094221E-12</c:v>
                </c:pt>
                <c:pt idx="40">
                  <c:v>4.1829683074712016E-12</c:v>
                </c:pt>
                <c:pt idx="41">
                  <c:v>2.1191628230960225E-12</c:v>
                </c:pt>
                <c:pt idx="42">
                  <c:v>1.073603895771002E-12</c:v>
                </c:pt>
                <c:pt idx="43">
                  <c:v>5.4390597666777509E-13</c:v>
                </c:pt>
                <c:pt idx="44">
                  <c:v>2.7555201002917079E-13</c:v>
                </c:pt>
                <c:pt idx="45">
                  <c:v>1.395993305612908E-13</c:v>
                </c:pt>
                <c:pt idx="46">
                  <c:v>7.0723392985216016E-14</c:v>
                </c:pt>
                <c:pt idx="47">
                  <c:v>3.5829672644061043E-14</c:v>
                </c:pt>
                <c:pt idx="48">
                  <c:v>1.8151920992378173E-14</c:v>
                </c:pt>
                <c:pt idx="49">
                  <c:v>9.1960716188165904E-15</c:v>
                </c:pt>
                <c:pt idx="50">
                  <c:v>4.6588861451034411E-15</c:v>
                </c:pt>
                <c:pt idx="51">
                  <c:v>2.3602708866060276E-15</c:v>
                </c:pt>
                <c:pt idx="52">
                  <c:v>1.1957533377404197E-15</c:v>
                </c:pt>
                <c:pt idx="53">
                  <c:v>6.0578895957716692E-16</c:v>
                </c:pt>
                <c:pt idx="54">
                  <c:v>3.0690298070926432E-16</c:v>
                </c:pt>
                <c:pt idx="55">
                  <c:v>1.554822650349632E-16</c:v>
                </c:pt>
                <c:pt idx="56">
                  <c:v>7.8769957478202569E-17</c:v>
                </c:pt>
                <c:pt idx="57">
                  <c:v>3.9906198946372376E-17</c:v>
                </c:pt>
                <c:pt idx="58">
                  <c:v>2.021715848695404E-17</c:v>
                </c:pt>
                <c:pt idx="59">
                  <c:v>1.0242356026839187E-17</c:v>
                </c:pt>
                <c:pt idx="60">
                  <c:v>5.1889516050548405E-18</c:v>
                </c:pt>
              </c:numCache>
            </c:numRef>
          </c:val>
          <c:smooth val="0"/>
        </c:ser>
        <c:ser>
          <c:idx val="0"/>
          <c:order val="1"/>
          <c:tx>
            <c:v>Default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Graphs!$A$8:$A$68</c:f>
              <c:numCache>
                <c:formatCode>General</c:formatCode>
                <c:ptCount val="6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</c:numCache>
            </c:numRef>
          </c:cat>
          <c:val>
            <c:numRef>
              <c:f>Graphs!$H$8:$H$68</c:f>
              <c:numCache>
                <c:formatCode>General</c:formatCode>
                <c:ptCount val="61"/>
                <c:pt idx="0">
                  <c:v>0.99737487974333983</c:v>
                </c:pt>
                <c:pt idx="1">
                  <c:v>0.99483154696971143</c:v>
                </c:pt>
                <c:pt idx="2">
                  <c:v>0.98984919911400726</c:v>
                </c:pt>
                <c:pt idx="3">
                  <c:v>0.98015969426592253</c:v>
                </c:pt>
                <c:pt idx="4">
                  <c:v>0.96158001449843467</c:v>
                </c:pt>
                <c:pt idx="5">
                  <c:v>0.9268988265776219</c:v>
                </c:pt>
                <c:pt idx="6">
                  <c:v>0.86529694804797208</c:v>
                </c:pt>
                <c:pt idx="7">
                  <c:v>0.76494780376376503</c:v>
                </c:pt>
                <c:pt idx="8">
                  <c:v>0.62245933120185482</c:v>
                </c:pt>
                <c:pt idx="9">
                  <c:v>0.45512110762642027</c:v>
                </c:pt>
                <c:pt idx="10">
                  <c:v>0.29733934565526882</c:v>
                </c:pt>
                <c:pt idx="11">
                  <c:v>0.17653527477911699</c:v>
                </c:pt>
                <c:pt idx="12">
                  <c:v>9.7968804297554127E-2</c:v>
                </c:pt>
                <c:pt idx="13">
                  <c:v>5.2153563078417758E-2</c:v>
                </c:pt>
                <c:pt idx="14">
                  <c:v>2.7119717201763014E-2</c:v>
                </c:pt>
                <c:pt idx="15">
                  <c:v>1.3925640306500382E-2</c:v>
                </c:pt>
                <c:pt idx="16">
                  <c:v>7.1037737243887771E-3</c:v>
                </c:pt>
                <c:pt idx="17">
                  <c:v>3.6115505344315479E-3</c:v>
                </c:pt>
                <c:pt idx="18">
                  <c:v>1.8329389424927988E-3</c:v>
                </c:pt>
                <c:pt idx="19">
                  <c:v>9.2943854355069923E-4</c:v>
                </c:pt>
                <c:pt idx="20">
                  <c:v>4.7108538476280776E-4</c:v>
                </c:pt>
                <c:pt idx="21">
                  <c:v>2.3871534431490622E-4</c:v>
                </c:pt>
                <c:pt idx="22">
                  <c:v>1.2095149520497176E-4</c:v>
                </c:pt>
                <c:pt idx="23">
                  <c:v>6.1279739616602251E-5</c:v>
                </c:pt>
                <c:pt idx="24">
                  <c:v>3.1046296043091199E-5</c:v>
                </c:pt>
                <c:pt idx="25">
                  <c:v>1.5728822055054801E-5</c:v>
                </c:pt>
                <c:pt idx="26">
                  <c:v>7.9685503615939624E-6</c:v>
                </c:pt>
                <c:pt idx="27">
                  <c:v>4.0370188894353579E-6</c:v>
                </c:pt>
                <c:pt idx="28">
                  <c:v>2.0452264415637267E-6</c:v>
                </c:pt>
                <c:pt idx="29">
                  <c:v>1.0361475140872945E-6</c:v>
                </c:pt>
                <c:pt idx="30">
                  <c:v>5.2493020558753544E-7</c:v>
                </c:pt>
                <c:pt idx="31">
                  <c:v>2.65938630832491E-7</c:v>
                </c:pt>
                <c:pt idx="32">
                  <c:v>1.3472904698392406E-7</c:v>
                </c:pt>
                <c:pt idx="33">
                  <c:v>6.8256029104462388E-8</c:v>
                </c:pt>
                <c:pt idx="34">
                  <c:v>3.4579665340238198E-8</c:v>
                </c:pt>
                <c:pt idx="35">
                  <c:v>1.7518646350566128E-8</c:v>
                </c:pt>
                <c:pt idx="36">
                  <c:v>8.8752440011525026E-9</c:v>
                </c:pt>
                <c:pt idx="37">
                  <c:v>4.496349442063647E-9</c:v>
                </c:pt>
                <c:pt idx="38">
                  <c:v>2.2779270360163952E-9</c:v>
                </c:pt>
                <c:pt idx="39">
                  <c:v>1.1540365451118949E-9</c:v>
                </c:pt>
                <c:pt idx="40">
                  <c:v>5.8465452389745844E-10</c:v>
                </c:pt>
                <c:pt idx="41">
                  <c:v>2.9619591655530751E-10</c:v>
                </c:pt>
                <c:pt idx="42">
                  <c:v>1.5005788441814824E-10</c:v>
                </c:pt>
                <c:pt idx="43">
                  <c:v>7.6021874090294178E-11</c:v>
                </c:pt>
                <c:pt idx="44">
                  <c:v>3.8513973207064973E-11</c:v>
                </c:pt>
                <c:pt idx="45">
                  <c:v>1.9511833270583002E-11</c:v>
                </c:pt>
                <c:pt idx="46">
                  <c:v>9.8850262871768044E-12</c:v>
                </c:pt>
                <c:pt idx="47">
                  <c:v>5.0079222870887293E-12</c:v>
                </c:pt>
                <c:pt idx="48">
                  <c:v>2.5370985270917662E-12</c:v>
                </c:pt>
                <c:pt idx="49">
                  <c:v>1.2853372251320164E-12</c:v>
                </c:pt>
                <c:pt idx="50">
                  <c:v>6.5117367917232793E-13</c:v>
                </c:pt>
                <c:pt idx="51">
                  <c:v>3.2989565085002628E-13</c:v>
                </c:pt>
                <c:pt idx="52">
                  <c:v>1.6713074242815742E-13</c:v>
                </c:pt>
                <c:pt idx="53">
                  <c:v>8.4671274060788162E-14</c:v>
                </c:pt>
                <c:pt idx="54">
                  <c:v>4.2895906204440868E-14</c:v>
                </c:pt>
                <c:pt idx="55">
                  <c:v>2.1731794986090885E-14</c:v>
                </c:pt>
                <c:pt idx="56">
                  <c:v>1.1009696614559046E-14</c:v>
                </c:pt>
                <c:pt idx="57">
                  <c:v>5.5776993857255509E-15</c:v>
                </c:pt>
                <c:pt idx="58">
                  <c:v>2.8257572871156832E-15</c:v>
                </c:pt>
                <c:pt idx="59">
                  <c:v>1.4315766579537081E-15</c:v>
                </c:pt>
                <c:pt idx="60">
                  <c:v>7.2526106079329074E-16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>
              <a:noFill/>
            </a:ln>
          </c:spPr>
        </c:hiLowLines>
        <c:marker val="1"/>
        <c:smooth val="0"/>
        <c:axId val="148824064"/>
        <c:axId val="148825984"/>
      </c:lineChart>
      <c:catAx>
        <c:axId val="1488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Months before</a:t>
                </a:r>
                <a:r>
                  <a:rPr lang="en-GB" baseline="0"/>
                  <a:t> clinical onset</a:t>
                </a:r>
                <a:endParaRPr lang="en-GB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48825984"/>
        <c:crosses val="autoZero"/>
        <c:auto val="0"/>
        <c:lblAlgn val="ctr"/>
        <c:lblOffset val="100"/>
        <c:tickLblSkip val="10"/>
        <c:noMultiLvlLbl val="0"/>
      </c:catAx>
      <c:valAx>
        <c:axId val="148825984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Test</a:t>
                </a:r>
                <a:r>
                  <a:rPr lang="en-GB" baseline="0"/>
                  <a:t> sensitivity</a:t>
                </a:r>
                <a:endParaRPr lang="en-GB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8824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14140480492738"/>
          <c:y val="4.3848792759826186E-2"/>
          <c:w val="0.24314192412946353"/>
          <c:h val="0.3719377460629921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79715035620547"/>
          <c:y val="0.11060429211054501"/>
          <c:w val="0.6197147677968825"/>
          <c:h val="0.6709254284390922"/>
        </c:manualLayout>
      </c:layout>
      <c:lineChart>
        <c:grouping val="standard"/>
        <c:varyColors val="0"/>
        <c:ser>
          <c:idx val="3"/>
          <c:order val="0"/>
          <c:tx>
            <c:strRef>
              <c:f>Graphs!$B$78</c:f>
              <c:strCache>
                <c:ptCount val="1"/>
                <c:pt idx="0">
                  <c:v>User defined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Graphs!$A$79:$A$119</c:f>
              <c:numCache>
                <c:formatCode>General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cat>
          <c:val>
            <c:numRef>
              <c:f>Graphs!$B$79:$B$119</c:f>
              <c:numCache>
                <c:formatCode>General</c:formatCode>
                <c:ptCount val="41"/>
                <c:pt idx="0">
                  <c:v>0</c:v>
                </c:pt>
                <c:pt idx="1">
                  <c:v>2.5848411232292486E-13</c:v>
                </c:pt>
                <c:pt idx="2">
                  <c:v>1.7620253294299231E-7</c:v>
                </c:pt>
                <c:pt idx="3">
                  <c:v>5.3294558685292035E-5</c:v>
                </c:pt>
                <c:pt idx="4">
                  <c:v>1.1739389090311761E-3</c:v>
                </c:pt>
                <c:pt idx="5">
                  <c:v>7.4627447929920101E-3</c:v>
                </c:pt>
                <c:pt idx="6">
                  <c:v>2.3690476726584558E-2</c:v>
                </c:pt>
                <c:pt idx="7">
                  <c:v>4.9005191958948195E-2</c:v>
                </c:pt>
                <c:pt idx="8">
                  <c:v>7.6442327910127658E-2</c:v>
                </c:pt>
                <c:pt idx="9">
                  <c:v>9.8115331829571842E-2</c:v>
                </c:pt>
                <c:pt idx="10">
                  <c:v>0.1095290323716127</c:v>
                </c:pt>
                <c:pt idx="11">
                  <c:v>0.11034599801770344</c:v>
                </c:pt>
                <c:pt idx="12">
                  <c:v>0.10292474204356325</c:v>
                </c:pt>
                <c:pt idx="13">
                  <c:v>9.051807187810193E-2</c:v>
                </c:pt>
                <c:pt idx="14">
                  <c:v>7.6066171660135087E-2</c:v>
                </c:pt>
                <c:pt idx="15">
                  <c:v>6.168940998626242E-2</c:v>
                </c:pt>
                <c:pt idx="16">
                  <c:v>4.8649386566702986E-2</c:v>
                </c:pt>
                <c:pt idx="17">
                  <c:v>3.7525516605276706E-2</c:v>
                </c:pt>
                <c:pt idx="18">
                  <c:v>2.8440710651411807E-2</c:v>
                </c:pt>
                <c:pt idx="19">
                  <c:v>2.1256215658592693E-2</c:v>
                </c:pt>
                <c:pt idx="20">
                  <c:v>1.5711403016479601E-2</c:v>
                </c:pt>
                <c:pt idx="21">
                  <c:v>1.1511608527876801E-2</c:v>
                </c:pt>
                <c:pt idx="22">
                  <c:v>8.3766002955381821E-3</c:v>
                </c:pt>
                <c:pt idx="23">
                  <c:v>6.0628859465059895E-3</c:v>
                </c:pt>
                <c:pt idx="24">
                  <c:v>4.3703964166993776E-3</c:v>
                </c:pt>
                <c:pt idx="25">
                  <c:v>3.1408449801237559E-3</c:v>
                </c:pt>
                <c:pt idx="26">
                  <c:v>2.2523376136747439E-3</c:v>
                </c:pt>
                <c:pt idx="27">
                  <c:v>1.6128570409143722E-3</c:v>
                </c:pt>
                <c:pt idx="28">
                  <c:v>1.1539741511349989E-3</c:v>
                </c:pt>
                <c:pt idx="29">
                  <c:v>8.2537997745541077E-4</c:v>
                </c:pt>
                <c:pt idx="30">
                  <c:v>5.9041028522770179E-4</c:v>
                </c:pt>
                <c:pt idx="31">
                  <c:v>4.2252371996932987E-4</c:v>
                </c:pt>
                <c:pt idx="32">
                  <c:v>3.0260485387188514E-4</c:v>
                </c:pt>
                <c:pt idx="33">
                  <c:v>2.1693918915175858E-4</c:v>
                </c:pt>
                <c:pt idx="34">
                  <c:v>1.5571473312974584E-4</c:v>
                </c:pt>
                <c:pt idx="35">
                  <c:v>1.1192534066793937E-4</c:v>
                </c:pt>
                <c:pt idx="36">
                  <c:v>8.0574768814409357E-5</c:v>
                </c:pt>
                <c:pt idx="37">
                  <c:v>5.8102636585154978E-5</c:v>
                </c:pt>
                <c:pt idx="38">
                  <c:v>4.1972401371019243E-5</c:v>
                </c:pt>
                <c:pt idx="39">
                  <c:v>3.037667698996102E-5</c:v>
                </c:pt>
                <c:pt idx="40">
                  <c:v>2.2027019898483199E-5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Graphs!$C$78</c:f>
              <c:strCache>
                <c:ptCount val="1"/>
                <c:pt idx="0">
                  <c:v>Default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Graphs!$A$79:$A$119</c:f>
              <c:numCache>
                <c:formatCode>General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cat>
          <c:val>
            <c:numRef>
              <c:f>Graphs!$C$79:$C$119</c:f>
              <c:numCache>
                <c:formatCode>General</c:formatCode>
                <c:ptCount val="41"/>
                <c:pt idx="0">
                  <c:v>0</c:v>
                </c:pt>
                <c:pt idx="1">
                  <c:v>4.3425314011269468E-21</c:v>
                </c:pt>
                <c:pt idx="2">
                  <c:v>3.7180334178741307E-12</c:v>
                </c:pt>
                <c:pt idx="3">
                  <c:v>3.3553324887152921E-8</c:v>
                </c:pt>
                <c:pt idx="4">
                  <c:v>5.8039772683855778E-6</c:v>
                </c:pt>
                <c:pt idx="5">
                  <c:v>1.4952479248134471E-4</c:v>
                </c:pt>
                <c:pt idx="6">
                  <c:v>1.3087096853981925E-3</c:v>
                </c:pt>
                <c:pt idx="7">
                  <c:v>5.828405215873805E-3</c:v>
                </c:pt>
                <c:pt idx="8">
                  <c:v>1.6518865203752803E-2</c:v>
                </c:pt>
                <c:pt idx="9">
                  <c:v>3.409359436260341E-2</c:v>
                </c:pt>
                <c:pt idx="10">
                  <c:v>5.5867061391322297E-2</c:v>
                </c:pt>
                <c:pt idx="11">
                  <c:v>7.7029821494860762E-2</c:v>
                </c:pt>
                <c:pt idx="12">
                  <c:v>9.3066453300431937E-2</c:v>
                </c:pt>
                <c:pt idx="13">
                  <c:v>0.1014454781608068</c:v>
                </c:pt>
                <c:pt idx="14">
                  <c:v>0.1019369477923481</c:v>
                </c:pt>
                <c:pt idx="15">
                  <c:v>9.5971414518528336E-2</c:v>
                </c:pt>
                <c:pt idx="16">
                  <c:v>8.5718943230706682E-2</c:v>
                </c:pt>
                <c:pt idx="17">
                  <c:v>7.3342715790391921E-2</c:v>
                </c:pt>
                <c:pt idx="18">
                  <c:v>6.057842494072694E-2</c:v>
                </c:pt>
                <c:pt idx="19">
                  <c:v>4.8598993529531218E-2</c:v>
                </c:pt>
                <c:pt idx="20">
                  <c:v>3.8057524910548715E-2</c:v>
                </c:pt>
                <c:pt idx="21">
                  <c:v>2.9208955469503407E-2</c:v>
                </c:pt>
                <c:pt idx="22">
                  <c:v>2.2044473932779904E-2</c:v>
                </c:pt>
                <c:pt idx="23">
                  <c:v>1.6405508852818256E-2</c:v>
                </c:pt>
                <c:pt idx="24">
                  <c:v>1.2066605188838534E-2</c:v>
                </c:pt>
                <c:pt idx="25">
                  <c:v>8.7886921361276637E-3</c:v>
                </c:pt>
                <c:pt idx="26">
                  <c:v>6.3491311758083462E-3</c:v>
                </c:pt>
                <c:pt idx="27">
                  <c:v>4.555695103959095E-3</c:v>
                </c:pt>
                <c:pt idx="28">
                  <c:v>3.2505406825359502E-3</c:v>
                </c:pt>
                <c:pt idx="29">
                  <c:v>2.3086246587073105E-3</c:v>
                </c:pt>
                <c:pt idx="30">
                  <c:v>1.633510568939889E-3</c:v>
                </c:pt>
                <c:pt idx="31">
                  <c:v>1.1523473264900847E-3</c:v>
                </c:pt>
                <c:pt idx="32">
                  <c:v>8.109900013113147E-4</c:v>
                </c:pt>
                <c:pt idx="33">
                  <c:v>5.6971625518409614E-4</c:v>
                </c:pt>
                <c:pt idx="34">
                  <c:v>3.996880333013816E-4</c:v>
                </c:pt>
                <c:pt idx="35">
                  <c:v>2.8014583547112E-4</c:v>
                </c:pt>
                <c:pt idx="36">
                  <c:v>1.9624800815476486E-4</c:v>
                </c:pt>
                <c:pt idx="37">
                  <c:v>1.3744271352622366E-4</c:v>
                </c:pt>
                <c:pt idx="38">
                  <c:v>9.6261662481984451E-5</c:v>
                </c:pt>
                <c:pt idx="39">
                  <c:v>6.7438013777388925E-5</c:v>
                </c:pt>
                <c:pt idx="40">
                  <c:v>4.7268012871471713E-5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>
              <a:noFill/>
            </a:ln>
          </c:spPr>
        </c:hiLowLines>
        <c:marker val="1"/>
        <c:smooth val="0"/>
        <c:axId val="151098112"/>
        <c:axId val="151100032"/>
      </c:lineChart>
      <c:catAx>
        <c:axId val="151098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Months before</a:t>
                </a:r>
                <a:r>
                  <a:rPr lang="en-GB" baseline="0"/>
                  <a:t> clinical onset</a:t>
                </a:r>
                <a:endParaRPr lang="en-GB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51100032"/>
        <c:crosses val="autoZero"/>
        <c:auto val="0"/>
        <c:lblAlgn val="ctr"/>
        <c:lblOffset val="100"/>
        <c:tickLblSkip val="5"/>
        <c:noMultiLvlLbl val="0"/>
      </c:catAx>
      <c:valAx>
        <c:axId val="151100032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Probability</a:t>
                </a:r>
                <a:r>
                  <a:rPr lang="en-GB" baseline="0"/>
                  <a:t> of onset</a:t>
                </a:r>
                <a:endParaRPr lang="en-GB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10981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952729123145326"/>
          <c:y val="8.900211003036386E-2"/>
          <c:w val="0.2044726552038138"/>
          <c:h val="0.3484283876280171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3</xdr:row>
          <xdr:rowOff>9525</xdr:rowOff>
        </xdr:from>
        <xdr:to>
          <xdr:col>8</xdr:col>
          <xdr:colOff>447675</xdr:colOff>
          <xdr:row>4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Monitoring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352425</xdr:colOff>
          <xdr:row>4</xdr:row>
          <xdr:rowOff>104775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314326</xdr:colOff>
      <xdr:row>1</xdr:row>
      <xdr:rowOff>38100</xdr:rowOff>
    </xdr:from>
    <xdr:to>
      <xdr:col>6</xdr:col>
      <xdr:colOff>285750</xdr:colOff>
      <xdr:row>14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28575</xdr:rowOff>
    </xdr:from>
    <xdr:to>
      <xdr:col>13</xdr:col>
      <xdr:colOff>76200</xdr:colOff>
      <xdr:row>13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24"/>
  <sheetViews>
    <sheetView tabSelected="1" workbookViewId="0">
      <selection activeCell="L11" sqref="L11"/>
    </sheetView>
  </sheetViews>
  <sheetFormatPr defaultRowHeight="15" x14ac:dyDescent="0.25"/>
  <cols>
    <col min="1" max="16384" width="9.140625" style="10"/>
  </cols>
  <sheetData>
    <row r="1" spans="1:20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20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</row>
    <row r="3" spans="1:20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</row>
    <row r="4" spans="1:20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</row>
    <row r="5" spans="1:20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 spans="1:20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1:20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1:2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1:2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1:2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 spans="1:2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</row>
    <row r="15" spans="1:2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</row>
    <row r="16" spans="1:2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spans="1:2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</row>
    <row r="18" spans="1:2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 spans="1:2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</row>
    <row r="20" spans="1:2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</row>
    <row r="21" spans="1:2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L21" s="9"/>
      <c r="M21" s="9"/>
      <c r="N21" s="9"/>
      <c r="O21" s="9"/>
      <c r="P21" s="9"/>
      <c r="Q21" s="9"/>
      <c r="R21" s="9"/>
      <c r="S21" s="9"/>
      <c r="T21" s="9"/>
    </row>
    <row r="22" spans="1:20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L22" s="9"/>
      <c r="M22" s="9"/>
      <c r="N22" s="9"/>
      <c r="O22" s="9"/>
      <c r="P22" s="9"/>
      <c r="Q22" s="9"/>
      <c r="R22" s="9"/>
      <c r="S22" s="9"/>
      <c r="T22" s="9"/>
    </row>
    <row r="23" spans="1:20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L23" s="9"/>
      <c r="M23" s="9"/>
      <c r="N23" s="9"/>
      <c r="O23" s="9"/>
      <c r="P23" s="9"/>
      <c r="Q23" s="9"/>
      <c r="R23" s="9"/>
      <c r="S23" s="9"/>
      <c r="T23" s="9"/>
    </row>
    <row r="24" spans="1:20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L24" s="9"/>
      <c r="M24" s="9"/>
      <c r="N24" s="9"/>
      <c r="O24" s="9"/>
      <c r="P24" s="9"/>
      <c r="Q24" s="9"/>
      <c r="R24" s="9"/>
      <c r="S24" s="9"/>
      <c r="T24" s="9"/>
    </row>
  </sheetData>
  <phoneticPr fontId="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penForm">
                <anchor moveWithCells="1" sizeWithCells="1">
                  <from>
                    <xdr:col>5</xdr:col>
                    <xdr:colOff>590550</xdr:colOff>
                    <xdr:row>3</xdr:row>
                    <xdr:rowOff>9525</xdr:rowOff>
                  </from>
                  <to>
                    <xdr:col>8</xdr:col>
                    <xdr:colOff>447675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S104"/>
  <sheetViews>
    <sheetView workbookViewId="0">
      <selection activeCell="D45" sqref="D45"/>
    </sheetView>
  </sheetViews>
  <sheetFormatPr defaultRowHeight="15" x14ac:dyDescent="0.25"/>
  <cols>
    <col min="3" max="3" width="17" customWidth="1"/>
  </cols>
  <sheetData>
    <row r="2" spans="1:19" x14ac:dyDescent="0.25">
      <c r="A2" t="s">
        <v>16</v>
      </c>
      <c r="B2" t="s">
        <v>15</v>
      </c>
      <c r="C2" t="s">
        <v>0</v>
      </c>
      <c r="E2" t="s">
        <v>23</v>
      </c>
      <c r="F2" t="s">
        <v>1</v>
      </c>
      <c r="H2" t="s">
        <v>11</v>
      </c>
      <c r="J2" t="s">
        <v>12</v>
      </c>
      <c r="M2" t="s">
        <v>13</v>
      </c>
      <c r="O2" t="s">
        <v>18</v>
      </c>
      <c r="Q2" t="s">
        <v>19</v>
      </c>
      <c r="S2" t="s">
        <v>129</v>
      </c>
    </row>
    <row r="3" spans="1:19" x14ac:dyDescent="0.25">
      <c r="A3">
        <v>0</v>
      </c>
      <c r="B3" t="s">
        <v>131</v>
      </c>
      <c r="C3" t="s">
        <v>133</v>
      </c>
    </row>
    <row r="4" spans="1:19" x14ac:dyDescent="0.25">
      <c r="A4">
        <v>1</v>
      </c>
      <c r="B4" t="s">
        <v>132</v>
      </c>
      <c r="C4" t="s">
        <v>134</v>
      </c>
      <c r="E4" t="s">
        <v>24</v>
      </c>
      <c r="F4" s="2" t="s">
        <v>17</v>
      </c>
      <c r="H4" s="3">
        <f t="shared" ref="H4:H39" si="0">H5+0.01</f>
        <v>1.0000000000000002</v>
      </c>
      <c r="J4" s="1">
        <v>100000</v>
      </c>
      <c r="M4" s="11">
        <v>0.97499999999999998</v>
      </c>
      <c r="O4" s="3">
        <v>0.03</v>
      </c>
      <c r="Q4" t="s">
        <v>51</v>
      </c>
      <c r="S4">
        <v>1</v>
      </c>
    </row>
    <row r="5" spans="1:19" x14ac:dyDescent="0.25">
      <c r="A5">
        <v>2</v>
      </c>
      <c r="B5" t="s">
        <v>14</v>
      </c>
      <c r="C5" t="s">
        <v>14</v>
      </c>
      <c r="E5" t="s">
        <v>25</v>
      </c>
      <c r="F5" t="s">
        <v>2</v>
      </c>
      <c r="H5" s="3">
        <f t="shared" si="0"/>
        <v>0.99000000000000032</v>
      </c>
      <c r="J5" s="1">
        <v>10000</v>
      </c>
      <c r="M5" s="11">
        <v>0.95</v>
      </c>
      <c r="O5" s="3">
        <v>0.1</v>
      </c>
      <c r="Q5" t="s">
        <v>20</v>
      </c>
      <c r="S5">
        <v>2</v>
      </c>
    </row>
    <row r="6" spans="1:19" x14ac:dyDescent="0.25">
      <c r="A6">
        <v>3</v>
      </c>
      <c r="B6" t="s">
        <v>130</v>
      </c>
      <c r="C6" t="s">
        <v>130</v>
      </c>
      <c r="E6" t="s">
        <v>26</v>
      </c>
      <c r="F6" t="s">
        <v>3</v>
      </c>
      <c r="H6" s="3">
        <f t="shared" si="0"/>
        <v>0.98000000000000032</v>
      </c>
      <c r="J6" s="1">
        <v>1000</v>
      </c>
      <c r="M6" s="11">
        <v>0.92500000000000004</v>
      </c>
      <c r="O6" s="3">
        <v>0.2</v>
      </c>
      <c r="Q6" t="s">
        <v>21</v>
      </c>
      <c r="S6">
        <v>3</v>
      </c>
    </row>
    <row r="7" spans="1:19" x14ac:dyDescent="0.25">
      <c r="A7">
        <v>4</v>
      </c>
      <c r="B7" t="s">
        <v>57</v>
      </c>
      <c r="C7" t="s">
        <v>58</v>
      </c>
      <c r="E7" t="s">
        <v>27</v>
      </c>
      <c r="F7" t="s">
        <v>4</v>
      </c>
      <c r="H7" s="3">
        <f t="shared" si="0"/>
        <v>0.97000000000000031</v>
      </c>
      <c r="Q7" t="s">
        <v>52</v>
      </c>
      <c r="S7">
        <v>4</v>
      </c>
    </row>
    <row r="8" spans="1:19" x14ac:dyDescent="0.25">
      <c r="A8">
        <v>5</v>
      </c>
      <c r="B8" t="s">
        <v>59</v>
      </c>
      <c r="C8" t="s">
        <v>60</v>
      </c>
      <c r="E8" t="s">
        <v>28</v>
      </c>
      <c r="F8" t="s">
        <v>5</v>
      </c>
      <c r="H8" s="3">
        <f t="shared" si="0"/>
        <v>0.9600000000000003</v>
      </c>
      <c r="Q8" t="s">
        <v>22</v>
      </c>
      <c r="S8">
        <v>5</v>
      </c>
    </row>
    <row r="9" spans="1:19" x14ac:dyDescent="0.25">
      <c r="A9">
        <v>6</v>
      </c>
      <c r="B9" t="s">
        <v>109</v>
      </c>
      <c r="C9" t="s">
        <v>110</v>
      </c>
      <c r="E9" t="s">
        <v>29</v>
      </c>
      <c r="F9" t="s">
        <v>6</v>
      </c>
      <c r="H9" s="3">
        <f t="shared" si="0"/>
        <v>0.95000000000000029</v>
      </c>
    </row>
    <row r="10" spans="1:19" x14ac:dyDescent="0.25">
      <c r="A10">
        <v>7</v>
      </c>
      <c r="B10" t="s">
        <v>61</v>
      </c>
      <c r="C10" t="s">
        <v>62</v>
      </c>
      <c r="E10" t="s">
        <v>30</v>
      </c>
      <c r="F10" t="s">
        <v>7</v>
      </c>
      <c r="H10" s="3">
        <f t="shared" si="0"/>
        <v>0.94000000000000028</v>
      </c>
    </row>
    <row r="11" spans="1:19" x14ac:dyDescent="0.25">
      <c r="A11">
        <v>8</v>
      </c>
      <c r="B11" t="s">
        <v>63</v>
      </c>
      <c r="C11" t="s">
        <v>64</v>
      </c>
      <c r="E11" t="s">
        <v>31</v>
      </c>
      <c r="F11" t="s">
        <v>8</v>
      </c>
      <c r="H11" s="3">
        <f t="shared" si="0"/>
        <v>0.93000000000000027</v>
      </c>
    </row>
    <row r="12" spans="1:19" x14ac:dyDescent="0.25">
      <c r="A12">
        <v>9</v>
      </c>
      <c r="B12" t="s">
        <v>65</v>
      </c>
      <c r="C12" t="s">
        <v>66</v>
      </c>
      <c r="E12" t="s">
        <v>32</v>
      </c>
      <c r="F12" t="s">
        <v>9</v>
      </c>
      <c r="H12" s="3">
        <f t="shared" si="0"/>
        <v>0.92000000000000026</v>
      </c>
    </row>
    <row r="13" spans="1:19" x14ac:dyDescent="0.25">
      <c r="A13">
        <v>10</v>
      </c>
      <c r="B13" t="s">
        <v>67</v>
      </c>
      <c r="C13" t="s">
        <v>68</v>
      </c>
      <c r="E13" t="s">
        <v>33</v>
      </c>
      <c r="F13" t="s">
        <v>10</v>
      </c>
      <c r="H13" s="3">
        <f t="shared" si="0"/>
        <v>0.91000000000000025</v>
      </c>
    </row>
    <row r="14" spans="1:19" x14ac:dyDescent="0.25">
      <c r="A14">
        <v>11</v>
      </c>
      <c r="B14" t="s">
        <v>69</v>
      </c>
      <c r="C14" t="s">
        <v>70</v>
      </c>
      <c r="H14" s="3">
        <f t="shared" si="0"/>
        <v>0.90000000000000024</v>
      </c>
    </row>
    <row r="15" spans="1:19" x14ac:dyDescent="0.25">
      <c r="A15">
        <v>12</v>
      </c>
      <c r="B15" t="s">
        <v>71</v>
      </c>
      <c r="C15" t="s">
        <v>72</v>
      </c>
      <c r="H15" s="3">
        <f t="shared" si="0"/>
        <v>0.89000000000000024</v>
      </c>
    </row>
    <row r="16" spans="1:19" x14ac:dyDescent="0.25">
      <c r="A16">
        <v>13</v>
      </c>
      <c r="B16" t="s">
        <v>73</v>
      </c>
      <c r="C16" t="s">
        <v>74</v>
      </c>
      <c r="H16" s="3">
        <f t="shared" si="0"/>
        <v>0.88000000000000023</v>
      </c>
    </row>
    <row r="17" spans="1:8" x14ac:dyDescent="0.25">
      <c r="A17">
        <v>14</v>
      </c>
      <c r="B17" t="s">
        <v>75</v>
      </c>
      <c r="C17" t="s">
        <v>76</v>
      </c>
      <c r="H17" s="3">
        <f t="shared" si="0"/>
        <v>0.87000000000000022</v>
      </c>
    </row>
    <row r="18" spans="1:8" x14ac:dyDescent="0.25">
      <c r="A18">
        <v>15</v>
      </c>
      <c r="B18" t="s">
        <v>77</v>
      </c>
      <c r="C18" t="s">
        <v>78</v>
      </c>
      <c r="H18" s="3">
        <f t="shared" si="0"/>
        <v>0.86000000000000021</v>
      </c>
    </row>
    <row r="19" spans="1:8" x14ac:dyDescent="0.25">
      <c r="A19">
        <v>16</v>
      </c>
      <c r="B19" t="s">
        <v>79</v>
      </c>
      <c r="C19" t="s">
        <v>80</v>
      </c>
      <c r="H19" s="3">
        <f t="shared" si="0"/>
        <v>0.8500000000000002</v>
      </c>
    </row>
    <row r="20" spans="1:8" x14ac:dyDescent="0.25">
      <c r="A20">
        <v>17</v>
      </c>
      <c r="B20" t="s">
        <v>81</v>
      </c>
      <c r="C20" t="s">
        <v>82</v>
      </c>
      <c r="H20" s="3">
        <f t="shared" si="0"/>
        <v>0.84000000000000019</v>
      </c>
    </row>
    <row r="21" spans="1:8" x14ac:dyDescent="0.25">
      <c r="A21">
        <v>18</v>
      </c>
      <c r="B21" t="s">
        <v>83</v>
      </c>
      <c r="C21" t="s">
        <v>84</v>
      </c>
      <c r="H21" s="3">
        <f t="shared" si="0"/>
        <v>0.83000000000000018</v>
      </c>
    </row>
    <row r="22" spans="1:8" x14ac:dyDescent="0.25">
      <c r="A22">
        <v>19</v>
      </c>
      <c r="B22" t="s">
        <v>85</v>
      </c>
      <c r="C22" t="s">
        <v>86</v>
      </c>
      <c r="H22" s="3">
        <f t="shared" si="0"/>
        <v>0.82000000000000017</v>
      </c>
    </row>
    <row r="23" spans="1:8" x14ac:dyDescent="0.25">
      <c r="A23">
        <v>20</v>
      </c>
      <c r="B23" t="s">
        <v>87</v>
      </c>
      <c r="C23" t="s">
        <v>88</v>
      </c>
      <c r="H23" s="3">
        <f t="shared" si="0"/>
        <v>0.81000000000000016</v>
      </c>
    </row>
    <row r="24" spans="1:8" x14ac:dyDescent="0.25">
      <c r="A24">
        <v>21</v>
      </c>
      <c r="B24" t="s">
        <v>89</v>
      </c>
      <c r="C24" t="s">
        <v>90</v>
      </c>
      <c r="H24" s="3">
        <f t="shared" si="0"/>
        <v>0.80000000000000016</v>
      </c>
    </row>
    <row r="25" spans="1:8" x14ac:dyDescent="0.25">
      <c r="A25">
        <v>22</v>
      </c>
      <c r="B25" t="s">
        <v>91</v>
      </c>
      <c r="C25" t="s">
        <v>92</v>
      </c>
      <c r="H25" s="3">
        <f t="shared" si="0"/>
        <v>0.79000000000000015</v>
      </c>
    </row>
    <row r="26" spans="1:8" x14ac:dyDescent="0.25">
      <c r="A26">
        <v>23</v>
      </c>
      <c r="B26" t="s">
        <v>93</v>
      </c>
      <c r="C26" t="s">
        <v>94</v>
      </c>
      <c r="H26" s="3">
        <f t="shared" si="0"/>
        <v>0.78000000000000014</v>
      </c>
    </row>
    <row r="27" spans="1:8" x14ac:dyDescent="0.25">
      <c r="A27">
        <v>24</v>
      </c>
      <c r="B27" t="s">
        <v>95</v>
      </c>
      <c r="C27" t="s">
        <v>96</v>
      </c>
      <c r="H27" s="3">
        <f t="shared" si="0"/>
        <v>0.77000000000000013</v>
      </c>
    </row>
    <row r="28" spans="1:8" x14ac:dyDescent="0.25">
      <c r="A28">
        <v>25</v>
      </c>
      <c r="B28" t="s">
        <v>111</v>
      </c>
      <c r="C28" t="s">
        <v>112</v>
      </c>
      <c r="H28" s="3">
        <f t="shared" si="0"/>
        <v>0.76000000000000012</v>
      </c>
    </row>
    <row r="29" spans="1:8" x14ac:dyDescent="0.25">
      <c r="A29">
        <v>26</v>
      </c>
      <c r="B29" t="s">
        <v>97</v>
      </c>
      <c r="C29" t="s">
        <v>98</v>
      </c>
      <c r="H29" s="3">
        <f t="shared" si="0"/>
        <v>0.75000000000000011</v>
      </c>
    </row>
    <row r="30" spans="1:8" x14ac:dyDescent="0.25">
      <c r="A30">
        <v>27</v>
      </c>
      <c r="B30" t="s">
        <v>99</v>
      </c>
      <c r="C30" t="s">
        <v>100</v>
      </c>
      <c r="H30" s="3">
        <f t="shared" si="0"/>
        <v>0.7400000000000001</v>
      </c>
    </row>
    <row r="31" spans="1:8" x14ac:dyDescent="0.25">
      <c r="A31">
        <v>28</v>
      </c>
      <c r="B31" t="s">
        <v>101</v>
      </c>
      <c r="C31" t="s">
        <v>102</v>
      </c>
      <c r="H31" s="3">
        <f t="shared" si="0"/>
        <v>0.73000000000000009</v>
      </c>
    </row>
    <row r="32" spans="1:8" x14ac:dyDescent="0.25">
      <c r="A32">
        <v>29</v>
      </c>
      <c r="B32" t="s">
        <v>103</v>
      </c>
      <c r="C32" t="s">
        <v>104</v>
      </c>
      <c r="H32" s="3">
        <f t="shared" si="0"/>
        <v>0.72000000000000008</v>
      </c>
    </row>
    <row r="33" spans="1:8" x14ac:dyDescent="0.25">
      <c r="A33">
        <v>30</v>
      </c>
      <c r="B33" t="s">
        <v>105</v>
      </c>
      <c r="C33" t="s">
        <v>106</v>
      </c>
      <c r="H33" s="3">
        <f t="shared" si="0"/>
        <v>0.71000000000000008</v>
      </c>
    </row>
    <row r="34" spans="1:8" x14ac:dyDescent="0.25">
      <c r="A34">
        <v>31</v>
      </c>
      <c r="B34" t="s">
        <v>107</v>
      </c>
      <c r="C34" t="s">
        <v>108</v>
      </c>
      <c r="H34" s="3">
        <f t="shared" si="0"/>
        <v>0.70000000000000007</v>
      </c>
    </row>
    <row r="35" spans="1:8" x14ac:dyDescent="0.25">
      <c r="A35">
        <v>32</v>
      </c>
      <c r="B35" t="s">
        <v>115</v>
      </c>
      <c r="C35" t="s">
        <v>116</v>
      </c>
      <c r="H35" s="3">
        <f t="shared" si="0"/>
        <v>0.69000000000000006</v>
      </c>
    </row>
    <row r="36" spans="1:8" x14ac:dyDescent="0.25">
      <c r="A36">
        <v>33</v>
      </c>
      <c r="B36" t="s">
        <v>113</v>
      </c>
      <c r="C36" t="s">
        <v>114</v>
      </c>
      <c r="H36" s="3">
        <f t="shared" si="0"/>
        <v>0.68</v>
      </c>
    </row>
    <row r="37" spans="1:8" x14ac:dyDescent="0.25">
      <c r="A37">
        <v>34</v>
      </c>
      <c r="B37" t="s">
        <v>117</v>
      </c>
      <c r="C37" t="s">
        <v>118</v>
      </c>
      <c r="H37" s="3">
        <f t="shared" si="0"/>
        <v>0.67</v>
      </c>
    </row>
    <row r="38" spans="1:8" x14ac:dyDescent="0.25">
      <c r="A38">
        <v>35</v>
      </c>
      <c r="B38" t="s">
        <v>119</v>
      </c>
      <c r="C38" t="s">
        <v>120</v>
      </c>
      <c r="H38" s="3">
        <f t="shared" si="0"/>
        <v>0.66</v>
      </c>
    </row>
    <row r="39" spans="1:8" x14ac:dyDescent="0.25">
      <c r="A39">
        <v>36</v>
      </c>
      <c r="B39" t="s">
        <v>121</v>
      </c>
      <c r="C39" t="s">
        <v>122</v>
      </c>
      <c r="H39" s="3">
        <f t="shared" si="0"/>
        <v>0.65</v>
      </c>
    </row>
    <row r="40" spans="1:8" x14ac:dyDescent="0.25">
      <c r="A40">
        <v>37</v>
      </c>
      <c r="B40" t="s">
        <v>123</v>
      </c>
      <c r="C40" t="s">
        <v>124</v>
      </c>
      <c r="H40" s="3">
        <f>H41+0.01</f>
        <v>0.64</v>
      </c>
    </row>
    <row r="41" spans="1:8" x14ac:dyDescent="0.25">
      <c r="A41">
        <v>38</v>
      </c>
      <c r="B41" t="s">
        <v>125</v>
      </c>
      <c r="C41" t="s">
        <v>126</v>
      </c>
      <c r="H41" s="3">
        <v>0.63</v>
      </c>
    </row>
    <row r="42" spans="1:8" x14ac:dyDescent="0.25">
      <c r="A42">
        <v>39</v>
      </c>
      <c r="B42" t="s">
        <v>127</v>
      </c>
      <c r="C42" t="s">
        <v>128</v>
      </c>
      <c r="H42" s="3">
        <v>0.62</v>
      </c>
    </row>
    <row r="43" spans="1:8" x14ac:dyDescent="0.25">
      <c r="H43" s="3">
        <v>0.61</v>
      </c>
    </row>
    <row r="44" spans="1:8" x14ac:dyDescent="0.25">
      <c r="H44" s="3">
        <v>0.6</v>
      </c>
    </row>
    <row r="45" spans="1:8" x14ac:dyDescent="0.25">
      <c r="H45" s="3">
        <v>0.59</v>
      </c>
    </row>
    <row r="46" spans="1:8" x14ac:dyDescent="0.25">
      <c r="H46" s="3">
        <v>0.57999999999999996</v>
      </c>
    </row>
    <row r="47" spans="1:8" x14ac:dyDescent="0.25">
      <c r="H47" s="3">
        <v>0.56999999999999995</v>
      </c>
    </row>
    <row r="48" spans="1:8" x14ac:dyDescent="0.25">
      <c r="H48" s="3">
        <v>0.56000000000000005</v>
      </c>
    </row>
    <row r="49" spans="8:8" x14ac:dyDescent="0.25">
      <c r="H49" s="3">
        <v>0.55000000000000004</v>
      </c>
    </row>
    <row r="50" spans="8:8" x14ac:dyDescent="0.25">
      <c r="H50" s="3">
        <v>0.54</v>
      </c>
    </row>
    <row r="51" spans="8:8" x14ac:dyDescent="0.25">
      <c r="H51" s="3">
        <v>0.53</v>
      </c>
    </row>
    <row r="52" spans="8:8" x14ac:dyDescent="0.25">
      <c r="H52" s="3">
        <v>0.52</v>
      </c>
    </row>
    <row r="53" spans="8:8" x14ac:dyDescent="0.25">
      <c r="H53" s="3">
        <v>0.51</v>
      </c>
    </row>
    <row r="54" spans="8:8" x14ac:dyDescent="0.25">
      <c r="H54" s="3">
        <v>0.5</v>
      </c>
    </row>
    <row r="55" spans="8:8" x14ac:dyDescent="0.25">
      <c r="H55" s="3">
        <v>0.49</v>
      </c>
    </row>
    <row r="56" spans="8:8" x14ac:dyDescent="0.25">
      <c r="H56" s="3">
        <v>0.48</v>
      </c>
    </row>
    <row r="57" spans="8:8" x14ac:dyDescent="0.25">
      <c r="H57" s="3">
        <v>0.47</v>
      </c>
    </row>
    <row r="58" spans="8:8" x14ac:dyDescent="0.25">
      <c r="H58" s="3">
        <v>0.46</v>
      </c>
    </row>
    <row r="59" spans="8:8" x14ac:dyDescent="0.25">
      <c r="H59" s="3">
        <v>0.45</v>
      </c>
    </row>
    <row r="60" spans="8:8" x14ac:dyDescent="0.25">
      <c r="H60" s="3">
        <v>0.44</v>
      </c>
    </row>
    <row r="61" spans="8:8" x14ac:dyDescent="0.25">
      <c r="H61" s="3">
        <v>0.43</v>
      </c>
    </row>
    <row r="62" spans="8:8" x14ac:dyDescent="0.25">
      <c r="H62" s="3">
        <v>0.42</v>
      </c>
    </row>
    <row r="63" spans="8:8" x14ac:dyDescent="0.25">
      <c r="H63" s="3">
        <v>0.41</v>
      </c>
    </row>
    <row r="64" spans="8:8" x14ac:dyDescent="0.25">
      <c r="H64" s="3">
        <v>0.4</v>
      </c>
    </row>
    <row r="65" spans="8:8" x14ac:dyDescent="0.25">
      <c r="H65" s="3">
        <v>0.39</v>
      </c>
    </row>
    <row r="66" spans="8:8" x14ac:dyDescent="0.25">
      <c r="H66" s="3">
        <v>0.38</v>
      </c>
    </row>
    <row r="67" spans="8:8" x14ac:dyDescent="0.25">
      <c r="H67" s="3">
        <v>0.37</v>
      </c>
    </row>
    <row r="68" spans="8:8" x14ac:dyDescent="0.25">
      <c r="H68" s="3">
        <v>0.36</v>
      </c>
    </row>
    <row r="69" spans="8:8" x14ac:dyDescent="0.25">
      <c r="H69" s="3">
        <v>0.35</v>
      </c>
    </row>
    <row r="70" spans="8:8" x14ac:dyDescent="0.25">
      <c r="H70" s="3">
        <v>0.34</v>
      </c>
    </row>
    <row r="71" spans="8:8" x14ac:dyDescent="0.25">
      <c r="H71" s="3">
        <v>0.33</v>
      </c>
    </row>
    <row r="72" spans="8:8" x14ac:dyDescent="0.25">
      <c r="H72" s="3">
        <v>0.32</v>
      </c>
    </row>
    <row r="73" spans="8:8" x14ac:dyDescent="0.25">
      <c r="H73" s="3">
        <v>0.31</v>
      </c>
    </row>
    <row r="74" spans="8:8" x14ac:dyDescent="0.25">
      <c r="H74" s="3">
        <v>0.3</v>
      </c>
    </row>
    <row r="75" spans="8:8" x14ac:dyDescent="0.25">
      <c r="H75" s="3">
        <v>0.28999999999999998</v>
      </c>
    </row>
    <row r="76" spans="8:8" x14ac:dyDescent="0.25">
      <c r="H76" s="3">
        <v>0.28000000000000003</v>
      </c>
    </row>
    <row r="77" spans="8:8" x14ac:dyDescent="0.25">
      <c r="H77" s="3">
        <v>0.27</v>
      </c>
    </row>
    <row r="78" spans="8:8" x14ac:dyDescent="0.25">
      <c r="H78" s="3">
        <v>0.26</v>
      </c>
    </row>
    <row r="79" spans="8:8" x14ac:dyDescent="0.25">
      <c r="H79" s="3">
        <v>0.25</v>
      </c>
    </row>
    <row r="80" spans="8:8" x14ac:dyDescent="0.25">
      <c r="H80" s="3">
        <v>0.24</v>
      </c>
    </row>
    <row r="81" spans="8:8" x14ac:dyDescent="0.25">
      <c r="H81" s="3">
        <v>0.23</v>
      </c>
    </row>
    <row r="82" spans="8:8" x14ac:dyDescent="0.25">
      <c r="H82" s="3">
        <v>0.22</v>
      </c>
    </row>
    <row r="83" spans="8:8" x14ac:dyDescent="0.25">
      <c r="H83" s="3">
        <v>0.21</v>
      </c>
    </row>
    <row r="84" spans="8:8" x14ac:dyDescent="0.25">
      <c r="H84" s="3">
        <v>0.2</v>
      </c>
    </row>
    <row r="85" spans="8:8" x14ac:dyDescent="0.25">
      <c r="H85" s="3">
        <v>0.19</v>
      </c>
    </row>
    <row r="86" spans="8:8" x14ac:dyDescent="0.25">
      <c r="H86" s="3">
        <v>0.18</v>
      </c>
    </row>
    <row r="87" spans="8:8" x14ac:dyDescent="0.25">
      <c r="H87" s="3">
        <v>0.17</v>
      </c>
    </row>
    <row r="88" spans="8:8" x14ac:dyDescent="0.25">
      <c r="H88" s="3">
        <v>0.16</v>
      </c>
    </row>
    <row r="89" spans="8:8" x14ac:dyDescent="0.25">
      <c r="H89" s="3">
        <v>0.15</v>
      </c>
    </row>
    <row r="90" spans="8:8" x14ac:dyDescent="0.25">
      <c r="H90" s="3">
        <v>0.14000000000000001</v>
      </c>
    </row>
    <row r="91" spans="8:8" x14ac:dyDescent="0.25">
      <c r="H91" s="3">
        <v>0.13</v>
      </c>
    </row>
    <row r="92" spans="8:8" x14ac:dyDescent="0.25">
      <c r="H92" s="3">
        <v>0.12</v>
      </c>
    </row>
    <row r="93" spans="8:8" x14ac:dyDescent="0.25">
      <c r="H93" s="3">
        <v>0.11</v>
      </c>
    </row>
    <row r="94" spans="8:8" x14ac:dyDescent="0.25">
      <c r="H94" s="3">
        <v>0.1</v>
      </c>
    </row>
    <row r="95" spans="8:8" x14ac:dyDescent="0.25">
      <c r="H95" s="3">
        <v>0.09</v>
      </c>
    </row>
    <row r="96" spans="8:8" x14ac:dyDescent="0.25">
      <c r="H96" s="3">
        <v>0.08</v>
      </c>
    </row>
    <row r="97" spans="8:8" x14ac:dyDescent="0.25">
      <c r="H97" s="3">
        <v>7.0000000000000007E-2</v>
      </c>
    </row>
    <row r="98" spans="8:8" x14ac:dyDescent="0.25">
      <c r="H98" s="3">
        <v>0.06</v>
      </c>
    </row>
    <row r="99" spans="8:8" x14ac:dyDescent="0.25">
      <c r="H99" s="3">
        <v>0.05</v>
      </c>
    </row>
    <row r="100" spans="8:8" x14ac:dyDescent="0.25">
      <c r="H100" s="3">
        <v>0.04</v>
      </c>
    </row>
    <row r="101" spans="8:8" x14ac:dyDescent="0.25">
      <c r="H101" s="3">
        <v>0.03</v>
      </c>
    </row>
    <row r="102" spans="8:8" x14ac:dyDescent="0.25">
      <c r="H102" s="3">
        <v>0.02</v>
      </c>
    </row>
    <row r="103" spans="8:8" x14ac:dyDescent="0.25">
      <c r="H103" s="3">
        <v>0.01</v>
      </c>
    </row>
    <row r="104" spans="8:8" x14ac:dyDescent="0.25">
      <c r="H104" s="3">
        <v>0</v>
      </c>
    </row>
  </sheetData>
  <phoneticPr fontId="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19"/>
  <sheetViews>
    <sheetView workbookViewId="0"/>
  </sheetViews>
  <sheetFormatPr defaultRowHeight="15" x14ac:dyDescent="0.25"/>
  <cols>
    <col min="2" max="2" width="8.42578125" customWidth="1"/>
    <col min="3" max="3" width="8.85546875" customWidth="1"/>
    <col min="4" max="5" width="9.85546875" customWidth="1"/>
    <col min="6" max="6" width="10.42578125" customWidth="1"/>
    <col min="7" max="7" width="9.140625" customWidth="1"/>
  </cols>
  <sheetData>
    <row r="1" spans="1:8" x14ac:dyDescent="0.25">
      <c r="A1" s="5" t="s">
        <v>39</v>
      </c>
    </row>
    <row r="2" spans="1:8" x14ac:dyDescent="0.25">
      <c r="F2" t="s">
        <v>46</v>
      </c>
      <c r="G2" t="s">
        <v>47</v>
      </c>
    </row>
    <row r="3" spans="1:8" x14ac:dyDescent="0.25">
      <c r="E3" t="s">
        <v>34</v>
      </c>
      <c r="F3" t="s">
        <v>54</v>
      </c>
      <c r="G3">
        <v>5.94</v>
      </c>
    </row>
    <row r="4" spans="1:8" x14ac:dyDescent="0.25">
      <c r="E4" t="s">
        <v>35</v>
      </c>
      <c r="F4" t="s">
        <v>53</v>
      </c>
      <c r="G4">
        <v>-40.799999999999997</v>
      </c>
    </row>
    <row r="7" spans="1:8" x14ac:dyDescent="0.25">
      <c r="A7" t="s">
        <v>40</v>
      </c>
      <c r="B7" t="s">
        <v>36</v>
      </c>
      <c r="G7" t="s">
        <v>38</v>
      </c>
      <c r="H7" t="s">
        <v>37</v>
      </c>
    </row>
    <row r="8" spans="1:8" x14ac:dyDescent="0.25">
      <c r="A8">
        <v>0</v>
      </c>
      <c r="B8">
        <f>A8/12</f>
        <v>0</v>
      </c>
      <c r="C8">
        <f>(EXP(($F$3+$F$4*B8)))</f>
        <v>2.7182818284590451</v>
      </c>
      <c r="D8" s="4">
        <f>1+(EXP($F$3+$F$4*B8))</f>
        <v>3.7182818284590451</v>
      </c>
      <c r="E8">
        <f>(EXP(($G$3+$G$4*B8)))</f>
        <v>379.93492953814206</v>
      </c>
      <c r="F8" s="4">
        <f>1+(EXP($G$3+$G$4*B8))</f>
        <v>380.93492953814206</v>
      </c>
      <c r="G8">
        <f>C8/D8</f>
        <v>0.7310585786300049</v>
      </c>
      <c r="H8">
        <f>E8/F8</f>
        <v>0.99737487974333983</v>
      </c>
    </row>
    <row r="9" spans="1:8" x14ac:dyDescent="0.25">
      <c r="A9">
        <f>A8+0.2</f>
        <v>0.2</v>
      </c>
      <c r="B9">
        <f>A9/12</f>
        <v>1.6666666666666666E-2</v>
      </c>
      <c r="C9">
        <f t="shared" ref="C9:C68" si="0">(EXP(($F$3+$F$4*B9)))</f>
        <v>1.3771277643359572</v>
      </c>
      <c r="D9" s="4">
        <f t="shared" ref="D9:D68" si="1">1+(EXP($F$3+$F$4*B9))</f>
        <v>2.377127764335957</v>
      </c>
      <c r="E9">
        <f t="shared" ref="E9:E68" si="2">(EXP(($G$3+$G$4*B9)))</f>
        <v>192.48149129724578</v>
      </c>
      <c r="F9" s="4">
        <f t="shared" ref="F9:F68" si="3">1+(EXP($G$3+$G$4*B9))</f>
        <v>193.48149129724578</v>
      </c>
      <c r="G9">
        <f t="shared" ref="G9:G68" si="4">C9/D9</f>
        <v>0.5793242521487495</v>
      </c>
      <c r="H9">
        <f t="shared" ref="H9:H68" si="5">E9/F9</f>
        <v>0.99483154696971143</v>
      </c>
    </row>
    <row r="10" spans="1:8" x14ac:dyDescent="0.25">
      <c r="A10">
        <f t="shared" ref="A10:A68" si="6">A9+0.2</f>
        <v>0.4</v>
      </c>
      <c r="B10">
        <f t="shared" ref="B10:B68" si="7">A10/12</f>
        <v>3.3333333333333333E-2</v>
      </c>
      <c r="C10">
        <f t="shared" si="0"/>
        <v>0.69767632607103114</v>
      </c>
      <c r="D10" s="4">
        <f t="shared" si="1"/>
        <v>1.697676326071031</v>
      </c>
      <c r="E10">
        <f t="shared" si="2"/>
        <v>97.514394207054011</v>
      </c>
      <c r="F10" s="4">
        <f t="shared" si="3"/>
        <v>98.514394207054011</v>
      </c>
      <c r="G10">
        <f t="shared" si="4"/>
        <v>0.41095956594133498</v>
      </c>
      <c r="H10">
        <f t="shared" si="5"/>
        <v>0.98984919911400726</v>
      </c>
    </row>
    <row r="11" spans="1:8" x14ac:dyDescent="0.25">
      <c r="A11">
        <f t="shared" si="6"/>
        <v>0.60000000000000009</v>
      </c>
      <c r="B11">
        <f t="shared" si="7"/>
        <v>5.000000000000001E-2</v>
      </c>
      <c r="C11">
        <f t="shared" si="0"/>
        <v>0.35345468195878016</v>
      </c>
      <c r="D11" s="4">
        <f t="shared" si="1"/>
        <v>1.3534546819587803</v>
      </c>
      <c r="E11">
        <f t="shared" si="2"/>
        <v>49.402449105530188</v>
      </c>
      <c r="F11" s="4">
        <f t="shared" si="3"/>
        <v>50.402449105530188</v>
      </c>
      <c r="G11">
        <f t="shared" si="4"/>
        <v>0.261149993915751</v>
      </c>
      <c r="H11">
        <f t="shared" si="5"/>
        <v>0.98015969426592253</v>
      </c>
    </row>
    <row r="12" spans="1:8" x14ac:dyDescent="0.25">
      <c r="A12">
        <f t="shared" si="6"/>
        <v>0.8</v>
      </c>
      <c r="B12">
        <f t="shared" si="7"/>
        <v>6.6666666666666666E-2</v>
      </c>
      <c r="C12">
        <f t="shared" si="0"/>
        <v>0.17906614791149328</v>
      </c>
      <c r="D12" s="4">
        <f t="shared" si="1"/>
        <v>1.1790661479114932</v>
      </c>
      <c r="E12">
        <f t="shared" si="2"/>
        <v>25.028120181337826</v>
      </c>
      <c r="F12" s="4">
        <f t="shared" si="3"/>
        <v>26.028120181337826</v>
      </c>
      <c r="G12">
        <f t="shared" si="4"/>
        <v>0.15187116365665931</v>
      </c>
      <c r="H12">
        <f t="shared" si="5"/>
        <v>0.96158001449843467</v>
      </c>
    </row>
    <row r="13" spans="1:8" x14ac:dyDescent="0.25">
      <c r="A13">
        <f t="shared" si="6"/>
        <v>1</v>
      </c>
      <c r="B13">
        <f t="shared" si="7"/>
        <v>8.3333333333333329E-2</v>
      </c>
      <c r="C13">
        <f t="shared" si="0"/>
        <v>9.0717953289412553E-2</v>
      </c>
      <c r="D13" s="4">
        <f t="shared" si="1"/>
        <v>1.0907179532894125</v>
      </c>
      <c r="E13">
        <f t="shared" si="2"/>
        <v>12.679670970833888</v>
      </c>
      <c r="F13" s="4">
        <f t="shared" si="3"/>
        <v>13.679670970833888</v>
      </c>
      <c r="G13">
        <f t="shared" si="4"/>
        <v>8.3172696493922421E-2</v>
      </c>
      <c r="H13">
        <f t="shared" si="5"/>
        <v>0.9268988265776219</v>
      </c>
    </row>
    <row r="14" spans="1:8" x14ac:dyDescent="0.25">
      <c r="A14">
        <f t="shared" si="6"/>
        <v>1.2</v>
      </c>
      <c r="B14">
        <f t="shared" si="7"/>
        <v>9.9999999999999992E-2</v>
      </c>
      <c r="C14">
        <f t="shared" si="0"/>
        <v>4.5959256649044246E-2</v>
      </c>
      <c r="D14" s="4">
        <f t="shared" si="1"/>
        <v>1.0459592566490443</v>
      </c>
      <c r="E14">
        <f t="shared" si="2"/>
        <v>6.4237367714291418</v>
      </c>
      <c r="F14" s="4">
        <f t="shared" si="3"/>
        <v>7.4237367714291418</v>
      </c>
      <c r="G14">
        <f t="shared" si="4"/>
        <v>4.3939815396141356E-2</v>
      </c>
      <c r="H14">
        <f t="shared" si="5"/>
        <v>0.86529694804797208</v>
      </c>
    </row>
    <row r="15" spans="1:8" x14ac:dyDescent="0.25">
      <c r="A15">
        <f t="shared" si="6"/>
        <v>1.4</v>
      </c>
      <c r="B15">
        <f t="shared" si="7"/>
        <v>0.11666666666666665</v>
      </c>
      <c r="C15">
        <f t="shared" si="0"/>
        <v>2.3283740374897031E-2</v>
      </c>
      <c r="D15" s="4">
        <f t="shared" si="1"/>
        <v>1.0232837403748971</v>
      </c>
      <c r="E15">
        <f t="shared" si="2"/>
        <v>3.2543742028896756</v>
      </c>
      <c r="F15" s="4">
        <f t="shared" si="3"/>
        <v>4.2543742028896752</v>
      </c>
      <c r="G15">
        <f t="shared" si="4"/>
        <v>2.2753943462804016E-2</v>
      </c>
      <c r="H15">
        <f t="shared" si="5"/>
        <v>0.76494780376376503</v>
      </c>
    </row>
    <row r="16" spans="1:8" x14ac:dyDescent="0.25">
      <c r="A16">
        <f t="shared" si="6"/>
        <v>1.5999999999999999</v>
      </c>
      <c r="B16">
        <f t="shared" si="7"/>
        <v>0.13333333333333333</v>
      </c>
      <c r="C16">
        <f t="shared" si="0"/>
        <v>1.1795938519751572E-2</v>
      </c>
      <c r="D16" s="4">
        <f t="shared" si="1"/>
        <v>1.0117959385197515</v>
      </c>
      <c r="E16">
        <f t="shared" si="2"/>
        <v>1.6487212707001295</v>
      </c>
      <c r="F16" s="4">
        <f t="shared" si="3"/>
        <v>2.6487212707001295</v>
      </c>
      <c r="G16">
        <f t="shared" si="4"/>
        <v>1.1658416554833108E-2</v>
      </c>
      <c r="H16">
        <f t="shared" si="5"/>
        <v>0.62245933120185482</v>
      </c>
    </row>
    <row r="17" spans="1:8" x14ac:dyDescent="0.25">
      <c r="A17">
        <f t="shared" si="6"/>
        <v>1.7999999999999998</v>
      </c>
      <c r="B17">
        <f t="shared" si="7"/>
        <v>0.15</v>
      </c>
      <c r="C17">
        <f t="shared" si="0"/>
        <v>5.9760228950059479E-3</v>
      </c>
      <c r="D17" s="4">
        <f t="shared" si="1"/>
        <v>1.0059760228950059</v>
      </c>
      <c r="E17">
        <f t="shared" si="2"/>
        <v>0.835270211411273</v>
      </c>
      <c r="F17" s="4">
        <f t="shared" si="3"/>
        <v>1.8352702114112729</v>
      </c>
      <c r="G17">
        <f t="shared" si="4"/>
        <v>5.9405221983403755E-3</v>
      </c>
      <c r="H17">
        <f t="shared" si="5"/>
        <v>0.45512110762642027</v>
      </c>
    </row>
    <row r="18" spans="1:8" x14ac:dyDescent="0.25">
      <c r="A18">
        <f t="shared" si="6"/>
        <v>1.9999999999999998</v>
      </c>
      <c r="B18">
        <f t="shared" si="7"/>
        <v>0.16666666666666666</v>
      </c>
      <c r="C18">
        <f t="shared" si="0"/>
        <v>3.0275547453758179E-3</v>
      </c>
      <c r="D18" s="4">
        <f t="shared" si="1"/>
        <v>1.0030275547453757</v>
      </c>
      <c r="E18">
        <f t="shared" si="2"/>
        <v>0.42316208231774943</v>
      </c>
      <c r="F18" s="4">
        <f t="shared" si="3"/>
        <v>1.4231620823177495</v>
      </c>
      <c r="G18">
        <f t="shared" si="4"/>
        <v>3.0184163247084271E-3</v>
      </c>
      <c r="H18">
        <f t="shared" si="5"/>
        <v>0.29733934565526882</v>
      </c>
    </row>
    <row r="19" spans="1:8" x14ac:dyDescent="0.25">
      <c r="A19">
        <f t="shared" si="6"/>
        <v>2.1999999999999997</v>
      </c>
      <c r="B19">
        <f t="shared" si="7"/>
        <v>0.18333333333333332</v>
      </c>
      <c r="C19">
        <f t="shared" si="0"/>
        <v>1.5338106793244659E-3</v>
      </c>
      <c r="D19" s="4">
        <f t="shared" si="1"/>
        <v>1.0015338106793246</v>
      </c>
      <c r="E19">
        <f t="shared" si="2"/>
        <v>0.21438110142697833</v>
      </c>
      <c r="F19" s="4">
        <f t="shared" si="3"/>
        <v>1.2143811014269783</v>
      </c>
      <c r="G19">
        <f t="shared" si="4"/>
        <v>1.5314617070032875E-3</v>
      </c>
      <c r="H19">
        <f t="shared" si="5"/>
        <v>0.17653527477911699</v>
      </c>
    </row>
    <row r="20" spans="1:8" x14ac:dyDescent="0.25">
      <c r="A20">
        <f t="shared" si="6"/>
        <v>2.4</v>
      </c>
      <c r="B20">
        <f t="shared" si="7"/>
        <v>0.19999999999999998</v>
      </c>
      <c r="C20">
        <f t="shared" si="0"/>
        <v>7.7705455321758297E-4</v>
      </c>
      <c r="D20" s="4">
        <f t="shared" si="1"/>
        <v>1.0007770545532175</v>
      </c>
      <c r="E20">
        <f t="shared" si="2"/>
        <v>0.10860910882495821</v>
      </c>
      <c r="F20" s="4">
        <f t="shared" si="3"/>
        <v>1.1086091088249581</v>
      </c>
      <c r="G20">
        <f t="shared" si="4"/>
        <v>7.7645120827084485E-4</v>
      </c>
      <c r="H20">
        <f t="shared" si="5"/>
        <v>9.7968804297554127E-2</v>
      </c>
    </row>
    <row r="21" spans="1:8" x14ac:dyDescent="0.25">
      <c r="A21">
        <f t="shared" si="6"/>
        <v>2.6</v>
      </c>
      <c r="B21">
        <f t="shared" si="7"/>
        <v>0.21666666666666667</v>
      </c>
      <c r="C21">
        <f t="shared" si="0"/>
        <v>3.9366904065507829E-4</v>
      </c>
      <c r="D21" s="4">
        <f t="shared" si="1"/>
        <v>1.0003936690406552</v>
      </c>
      <c r="E21">
        <f t="shared" si="2"/>
        <v>5.5023220056407258E-2</v>
      </c>
      <c r="F21" s="4">
        <f t="shared" si="3"/>
        <v>1.0550232200564074</v>
      </c>
      <c r="G21">
        <f t="shared" si="4"/>
        <v>3.935141263264831E-4</v>
      </c>
      <c r="H21">
        <f t="shared" si="5"/>
        <v>5.2153563078417758E-2</v>
      </c>
    </row>
    <row r="22" spans="1:8" x14ac:dyDescent="0.25">
      <c r="A22">
        <f t="shared" si="6"/>
        <v>2.8000000000000003</v>
      </c>
      <c r="B22">
        <f t="shared" si="7"/>
        <v>0.23333333333333336</v>
      </c>
      <c r="C22">
        <f t="shared" si="0"/>
        <v>1.9943942536412246E-4</v>
      </c>
      <c r="D22" s="4">
        <f t="shared" si="1"/>
        <v>1.0001994394253642</v>
      </c>
      <c r="E22">
        <f t="shared" si="2"/>
        <v>2.7875698255246991E-2</v>
      </c>
      <c r="F22" s="4">
        <f t="shared" si="3"/>
        <v>1.0278756982552471</v>
      </c>
      <c r="G22">
        <f t="shared" si="4"/>
        <v>1.9939965721107048E-4</v>
      </c>
      <c r="H22">
        <f t="shared" si="5"/>
        <v>2.7119717201763014E-2</v>
      </c>
    </row>
    <row r="23" spans="1:8" x14ac:dyDescent="0.25">
      <c r="A23">
        <f t="shared" si="6"/>
        <v>3.0000000000000004</v>
      </c>
      <c r="B23">
        <f t="shared" si="7"/>
        <v>0.25000000000000006</v>
      </c>
      <c r="C23">
        <f t="shared" si="0"/>
        <v>1.0103940183709324E-4</v>
      </c>
      <c r="D23" s="4">
        <f t="shared" si="1"/>
        <v>1.000101039401837</v>
      </c>
      <c r="E23">
        <f t="shared" si="2"/>
        <v>1.4122302410163949E-2</v>
      </c>
      <c r="F23" s="4">
        <f t="shared" si="3"/>
        <v>1.014122302410164</v>
      </c>
      <c r="G23">
        <f t="shared" si="4"/>
        <v>1.0102919390777272E-4</v>
      </c>
      <c r="H23">
        <f t="shared" si="5"/>
        <v>1.3925640306500382E-2</v>
      </c>
    </row>
    <row r="24" spans="1:8" x14ac:dyDescent="0.25">
      <c r="A24">
        <f t="shared" si="6"/>
        <v>3.2000000000000006</v>
      </c>
      <c r="B24">
        <f t="shared" si="7"/>
        <v>0.26666666666666672</v>
      </c>
      <c r="C24">
        <f t="shared" si="0"/>
        <v>5.1188277869126422E-5</v>
      </c>
      <c r="D24" s="4">
        <f t="shared" si="1"/>
        <v>1.0000511882778691</v>
      </c>
      <c r="E24">
        <f t="shared" si="2"/>
        <v>7.1545983723145792E-3</v>
      </c>
      <c r="F24" s="4">
        <f t="shared" si="3"/>
        <v>1.0071545983723145</v>
      </c>
      <c r="G24">
        <f t="shared" si="4"/>
        <v>5.1185657763453912E-5</v>
      </c>
      <c r="H24">
        <f t="shared" si="5"/>
        <v>7.1037737243887771E-3</v>
      </c>
    </row>
    <row r="25" spans="1:8" x14ac:dyDescent="0.25">
      <c r="A25">
        <f t="shared" si="6"/>
        <v>3.4000000000000008</v>
      </c>
      <c r="B25">
        <f t="shared" si="7"/>
        <v>0.28333333333333338</v>
      </c>
      <c r="C25">
        <f t="shared" si="0"/>
        <v>2.5932851378430908E-5</v>
      </c>
      <c r="D25" s="4">
        <f t="shared" si="1"/>
        <v>1.0000259328513785</v>
      </c>
      <c r="E25">
        <f t="shared" si="2"/>
        <v>3.6246411089657558E-3</v>
      </c>
      <c r="F25" s="4">
        <f t="shared" si="3"/>
        <v>1.0036246411089658</v>
      </c>
      <c r="G25">
        <f t="shared" si="4"/>
        <v>2.593217888309001E-5</v>
      </c>
      <c r="H25">
        <f t="shared" si="5"/>
        <v>3.6115505344315479E-3</v>
      </c>
    </row>
    <row r="26" spans="1:8" x14ac:dyDescent="0.25">
      <c r="A26">
        <f t="shared" si="6"/>
        <v>3.600000000000001</v>
      </c>
      <c r="B26">
        <f t="shared" si="7"/>
        <v>0.3000000000000001</v>
      </c>
      <c r="C26">
        <f t="shared" si="0"/>
        <v>1.3138023168804459E-5</v>
      </c>
      <c r="D26" s="4">
        <f t="shared" si="1"/>
        <v>1.0000131380231687</v>
      </c>
      <c r="E26">
        <f t="shared" si="2"/>
        <v>1.8363047770289006E-3</v>
      </c>
      <c r="F26" s="4">
        <f t="shared" si="3"/>
        <v>1.0018363047770289</v>
      </c>
      <c r="G26">
        <f t="shared" si="4"/>
        <v>1.3137850563419369E-5</v>
      </c>
      <c r="H26">
        <f t="shared" si="5"/>
        <v>1.8329389424927988E-3</v>
      </c>
    </row>
    <row r="27" spans="1:8" x14ac:dyDescent="0.25">
      <c r="A27">
        <f t="shared" si="6"/>
        <v>3.8000000000000012</v>
      </c>
      <c r="B27">
        <f t="shared" si="7"/>
        <v>0.31666666666666676</v>
      </c>
      <c r="C27">
        <f t="shared" si="0"/>
        <v>6.6559457834091498E-6</v>
      </c>
      <c r="D27" s="4">
        <f t="shared" si="1"/>
        <v>1.0000066559457834</v>
      </c>
      <c r="E27">
        <f t="shared" si="2"/>
        <v>9.3030320320494652E-4</v>
      </c>
      <c r="F27" s="4">
        <f t="shared" si="3"/>
        <v>1.0009303032032049</v>
      </c>
      <c r="G27">
        <f t="shared" si="4"/>
        <v>6.655901482089745E-6</v>
      </c>
      <c r="H27">
        <f t="shared" si="5"/>
        <v>9.2943854355069923E-4</v>
      </c>
    </row>
    <row r="28" spans="1:8" x14ac:dyDescent="0.25">
      <c r="A28">
        <f t="shared" si="6"/>
        <v>4.0000000000000009</v>
      </c>
      <c r="B28">
        <f t="shared" si="7"/>
        <v>0.33333333333333343</v>
      </c>
      <c r="C28">
        <f t="shared" si="0"/>
        <v>3.3720152341391722E-6</v>
      </c>
      <c r="D28" s="4">
        <f t="shared" si="1"/>
        <v>1.0000033720152341</v>
      </c>
      <c r="E28">
        <f t="shared" si="2"/>
        <v>4.7130741079576407E-4</v>
      </c>
      <c r="F28" s="4">
        <f t="shared" si="3"/>
        <v>1.0004713074107958</v>
      </c>
      <c r="G28">
        <f t="shared" si="4"/>
        <v>3.3720038636907742E-6</v>
      </c>
      <c r="H28">
        <f t="shared" si="5"/>
        <v>4.7108538476280776E-4</v>
      </c>
    </row>
    <row r="29" spans="1:8" x14ac:dyDescent="0.25">
      <c r="A29">
        <f t="shared" si="6"/>
        <v>4.2000000000000011</v>
      </c>
      <c r="B29">
        <f t="shared" si="7"/>
        <v>0.35000000000000009</v>
      </c>
      <c r="C29">
        <f t="shared" si="0"/>
        <v>1.7083202161305374E-6</v>
      </c>
      <c r="D29" s="4">
        <f t="shared" si="1"/>
        <v>1.0000017083202162</v>
      </c>
      <c r="E29">
        <f t="shared" si="2"/>
        <v>2.3877234293696327E-4</v>
      </c>
      <c r="F29" s="4">
        <f t="shared" si="3"/>
        <v>1.0002387723429369</v>
      </c>
      <c r="G29">
        <f t="shared" si="4"/>
        <v>1.708317297777562E-6</v>
      </c>
      <c r="H29">
        <f t="shared" si="5"/>
        <v>2.3871534431490622E-4</v>
      </c>
    </row>
    <row r="30" spans="1:8" x14ac:dyDescent="0.25">
      <c r="A30">
        <f t="shared" si="6"/>
        <v>4.4000000000000012</v>
      </c>
      <c r="B30">
        <f t="shared" si="7"/>
        <v>0.36666666666666675</v>
      </c>
      <c r="C30">
        <f t="shared" si="0"/>
        <v>8.6546404989338719E-7</v>
      </c>
      <c r="D30" s="4">
        <f t="shared" si="1"/>
        <v>1.00000086546405</v>
      </c>
      <c r="E30">
        <f t="shared" si="2"/>
        <v>1.2096612623880951E-4</v>
      </c>
      <c r="F30" s="4">
        <f t="shared" si="3"/>
        <v>1.0001209661262389</v>
      </c>
      <c r="G30">
        <f t="shared" si="4"/>
        <v>8.6546330086601366E-7</v>
      </c>
      <c r="H30">
        <f t="shared" si="5"/>
        <v>1.2095149520497176E-4</v>
      </c>
    </row>
    <row r="31" spans="1:8" x14ac:dyDescent="0.25">
      <c r="A31">
        <f t="shared" si="6"/>
        <v>4.6000000000000014</v>
      </c>
      <c r="B31">
        <f t="shared" si="7"/>
        <v>0.38333333333333347</v>
      </c>
      <c r="C31">
        <f t="shared" si="0"/>
        <v>4.384587939575297E-7</v>
      </c>
      <c r="D31" s="4">
        <f t="shared" si="1"/>
        <v>1.0000004384587939</v>
      </c>
      <c r="E31">
        <f t="shared" si="2"/>
        <v>6.1283495053221916E-5</v>
      </c>
      <c r="F31" s="4">
        <f t="shared" si="3"/>
        <v>1.0000612834950533</v>
      </c>
      <c r="G31">
        <f t="shared" si="4"/>
        <v>4.3845860171150003E-7</v>
      </c>
      <c r="H31">
        <f t="shared" si="5"/>
        <v>6.1279739616602251E-5</v>
      </c>
    </row>
    <row r="32" spans="1:8" x14ac:dyDescent="0.25">
      <c r="A32">
        <f t="shared" si="6"/>
        <v>4.8000000000000016</v>
      </c>
      <c r="B32">
        <f t="shared" si="7"/>
        <v>0.40000000000000013</v>
      </c>
      <c r="C32">
        <f t="shared" si="0"/>
        <v>2.2213067547100752E-7</v>
      </c>
      <c r="D32" s="4">
        <f t="shared" si="1"/>
        <v>1.0000002221306754</v>
      </c>
      <c r="E32">
        <f t="shared" si="2"/>
        <v>3.1047259945514789E-5</v>
      </c>
      <c r="F32" s="4">
        <f t="shared" si="3"/>
        <v>1.0000310472599454</v>
      </c>
      <c r="G32">
        <f t="shared" si="4"/>
        <v>2.221306261289815E-7</v>
      </c>
      <c r="H32">
        <f t="shared" si="5"/>
        <v>3.1046296043091199E-5</v>
      </c>
    </row>
    <row r="33" spans="1:8" x14ac:dyDescent="0.25">
      <c r="A33">
        <f t="shared" si="6"/>
        <v>5.0000000000000018</v>
      </c>
      <c r="B33">
        <f t="shared" si="7"/>
        <v>0.4166666666666668</v>
      </c>
      <c r="C33">
        <f t="shared" si="0"/>
        <v>1.1253517471925872E-7</v>
      </c>
      <c r="D33" s="4">
        <f t="shared" si="1"/>
        <v>1.0000001125351747</v>
      </c>
      <c r="E33">
        <f t="shared" si="2"/>
        <v>1.5729069454789347E-5</v>
      </c>
      <c r="F33" s="4">
        <f t="shared" si="3"/>
        <v>1.0000157290694547</v>
      </c>
      <c r="G33">
        <f t="shared" si="4"/>
        <v>1.125351620550946E-7</v>
      </c>
      <c r="H33">
        <f t="shared" si="5"/>
        <v>1.5728822055054801E-5</v>
      </c>
    </row>
    <row r="34" spans="1:8" x14ac:dyDescent="0.25">
      <c r="A34">
        <f t="shared" si="6"/>
        <v>5.200000000000002</v>
      </c>
      <c r="B34">
        <f t="shared" si="7"/>
        <v>0.43333333333333351</v>
      </c>
      <c r="C34">
        <f t="shared" si="0"/>
        <v>5.7012231751606797E-8</v>
      </c>
      <c r="D34" s="4">
        <f t="shared" si="1"/>
        <v>1.0000000570122318</v>
      </c>
      <c r="E34">
        <f t="shared" si="2"/>
        <v>7.9686138598948164E-6</v>
      </c>
      <c r="F34" s="4">
        <f t="shared" si="3"/>
        <v>1.0000079686138599</v>
      </c>
      <c r="G34">
        <f t="shared" si="4"/>
        <v>5.7012228501212411E-8</v>
      </c>
      <c r="H34">
        <f t="shared" si="5"/>
        <v>7.9685503615939624E-6</v>
      </c>
    </row>
    <row r="35" spans="1:8" x14ac:dyDescent="0.25">
      <c r="A35">
        <f t="shared" si="6"/>
        <v>5.4000000000000021</v>
      </c>
      <c r="B35">
        <f t="shared" si="7"/>
        <v>0.45000000000000018</v>
      </c>
      <c r="C35">
        <f t="shared" si="0"/>
        <v>2.8883365378049014E-8</v>
      </c>
      <c r="D35" s="4">
        <f t="shared" si="1"/>
        <v>1.0000000288833655</v>
      </c>
      <c r="E35">
        <f t="shared" si="2"/>
        <v>4.0370351870226652E-6</v>
      </c>
      <c r="F35" s="4">
        <f t="shared" si="3"/>
        <v>1.000004037035187</v>
      </c>
      <c r="G35">
        <f t="shared" si="4"/>
        <v>2.8883364543800239E-8</v>
      </c>
      <c r="H35">
        <f t="shared" si="5"/>
        <v>4.0370188894353579E-6</v>
      </c>
    </row>
    <row r="36" spans="1:8" x14ac:dyDescent="0.25">
      <c r="A36">
        <f t="shared" si="6"/>
        <v>5.6000000000000023</v>
      </c>
      <c r="B36">
        <f t="shared" si="7"/>
        <v>0.46666666666666684</v>
      </c>
      <c r="C36">
        <f t="shared" si="0"/>
        <v>1.4632803697223598E-8</v>
      </c>
      <c r="D36" s="4">
        <f t="shared" si="1"/>
        <v>1.0000000146328036</v>
      </c>
      <c r="E36">
        <f t="shared" si="2"/>
        <v>2.0452306245234787E-6</v>
      </c>
      <c r="F36" s="4">
        <f t="shared" si="3"/>
        <v>1.0000020452306244</v>
      </c>
      <c r="G36">
        <f t="shared" si="4"/>
        <v>1.4632803483104657E-8</v>
      </c>
      <c r="H36">
        <f t="shared" si="5"/>
        <v>2.0452264415637267E-6</v>
      </c>
    </row>
    <row r="37" spans="1:8" x14ac:dyDescent="0.25">
      <c r="A37">
        <f t="shared" si="6"/>
        <v>5.8000000000000025</v>
      </c>
      <c r="B37">
        <f t="shared" si="7"/>
        <v>0.48333333333333356</v>
      </c>
      <c r="C37">
        <f t="shared" si="0"/>
        <v>7.4132269989634744E-9</v>
      </c>
      <c r="D37" s="4">
        <f t="shared" si="1"/>
        <v>1.0000000074132269</v>
      </c>
      <c r="E37">
        <f t="shared" si="2"/>
        <v>1.0361485876900778E-6</v>
      </c>
      <c r="F37" s="4">
        <f t="shared" si="3"/>
        <v>1.0000010361485876</v>
      </c>
      <c r="G37">
        <f t="shared" si="4"/>
        <v>7.4132269440075408E-9</v>
      </c>
      <c r="H37">
        <f t="shared" si="5"/>
        <v>1.0361475140872945E-6</v>
      </c>
    </row>
    <row r="38" spans="1:8" x14ac:dyDescent="0.25">
      <c r="A38">
        <f t="shared" si="6"/>
        <v>6.0000000000000027</v>
      </c>
      <c r="B38">
        <f t="shared" si="7"/>
        <v>0.50000000000000022</v>
      </c>
      <c r="C38">
        <f t="shared" si="0"/>
        <v>3.755666765938262E-9</v>
      </c>
      <c r="D38" s="4">
        <f t="shared" si="1"/>
        <v>1.0000000037556667</v>
      </c>
      <c r="E38">
        <f t="shared" si="2"/>
        <v>5.2493048113940074E-7</v>
      </c>
      <c r="F38" s="4">
        <f t="shared" si="3"/>
        <v>1.0000005249304811</v>
      </c>
      <c r="G38">
        <f t="shared" si="4"/>
        <v>3.7556667518332294E-9</v>
      </c>
      <c r="H38">
        <f t="shared" si="5"/>
        <v>5.2493020558753544E-7</v>
      </c>
    </row>
    <row r="39" spans="1:8" x14ac:dyDescent="0.25">
      <c r="A39">
        <f>A38+0.2</f>
        <v>6.2000000000000028</v>
      </c>
      <c r="B39">
        <f t="shared" si="7"/>
        <v>0.51666666666666694</v>
      </c>
      <c r="C39">
        <f t="shared" si="0"/>
        <v>1.9026846012870439E-9</v>
      </c>
      <c r="D39" s="4">
        <f t="shared" si="1"/>
        <v>1.0000000019026847</v>
      </c>
      <c r="E39">
        <f t="shared" si="2"/>
        <v>2.6593870155586517E-7</v>
      </c>
      <c r="F39" s="4">
        <f t="shared" si="3"/>
        <v>1.0000002659387015</v>
      </c>
      <c r="G39">
        <f t="shared" si="4"/>
        <v>1.902684597666835E-9</v>
      </c>
      <c r="H39">
        <f t="shared" si="5"/>
        <v>2.65938630832491E-7</v>
      </c>
    </row>
    <row r="40" spans="1:8" x14ac:dyDescent="0.25">
      <c r="A40">
        <f t="shared" si="6"/>
        <v>6.400000000000003</v>
      </c>
      <c r="B40">
        <f t="shared" si="7"/>
        <v>0.53333333333333355</v>
      </c>
      <c r="C40">
        <f t="shared" si="0"/>
        <v>9.6393235012436342E-10</v>
      </c>
      <c r="D40" s="4">
        <f t="shared" si="1"/>
        <v>1.0000000009639323</v>
      </c>
      <c r="E40">
        <f t="shared" si="2"/>
        <v>1.347290651358426E-7</v>
      </c>
      <c r="F40" s="4">
        <f t="shared" si="3"/>
        <v>1.0000001347290652</v>
      </c>
      <c r="G40">
        <f t="shared" si="4"/>
        <v>9.6393234919519785E-10</v>
      </c>
      <c r="H40">
        <f t="shared" si="5"/>
        <v>1.3472904698392406E-7</v>
      </c>
    </row>
    <row r="41" spans="1:8" x14ac:dyDescent="0.25">
      <c r="A41">
        <f t="shared" si="6"/>
        <v>6.6000000000000032</v>
      </c>
      <c r="B41">
        <f t="shared" si="7"/>
        <v>0.55000000000000027</v>
      </c>
      <c r="C41">
        <f t="shared" si="0"/>
        <v>4.8834450806389963E-10</v>
      </c>
      <c r="D41" s="4">
        <f t="shared" si="1"/>
        <v>1.0000000004883445</v>
      </c>
      <c r="E41">
        <f t="shared" si="2"/>
        <v>6.8256033763348209E-8</v>
      </c>
      <c r="F41" s="4">
        <f t="shared" si="3"/>
        <v>1.0000000682560337</v>
      </c>
      <c r="G41">
        <f t="shared" si="4"/>
        <v>4.8834450782541933E-10</v>
      </c>
      <c r="H41">
        <f t="shared" si="5"/>
        <v>6.8256029104462388E-8</v>
      </c>
    </row>
    <row r="42" spans="1:8" x14ac:dyDescent="0.25">
      <c r="A42">
        <f t="shared" si="6"/>
        <v>6.8000000000000034</v>
      </c>
      <c r="B42">
        <f t="shared" si="7"/>
        <v>0.56666666666666698</v>
      </c>
      <c r="C42">
        <f t="shared" si="0"/>
        <v>2.4740362591358543E-10</v>
      </c>
      <c r="D42" s="4">
        <f t="shared" si="1"/>
        <v>1.0000000002474037</v>
      </c>
      <c r="E42">
        <f t="shared" si="2"/>
        <v>3.4579666535991493E-8</v>
      </c>
      <c r="F42" s="4">
        <f t="shared" si="3"/>
        <v>1.0000000345796665</v>
      </c>
      <c r="G42">
        <f t="shared" si="4"/>
        <v>2.4740362585237686E-10</v>
      </c>
      <c r="H42">
        <f t="shared" si="5"/>
        <v>3.4579665340238198E-8</v>
      </c>
    </row>
    <row r="43" spans="1:8" x14ac:dyDescent="0.25">
      <c r="A43">
        <f t="shared" si="6"/>
        <v>7.0000000000000036</v>
      </c>
      <c r="B43">
        <f t="shared" si="7"/>
        <v>0.58333333333333359</v>
      </c>
      <c r="C43">
        <f t="shared" si="0"/>
        <v>1.2533888086068259E-10</v>
      </c>
      <c r="D43" s="4">
        <f t="shared" si="1"/>
        <v>1.0000000001253389</v>
      </c>
      <c r="E43">
        <f t="shared" si="2"/>
        <v>1.7518646657469104E-8</v>
      </c>
      <c r="F43" s="4">
        <f t="shared" si="3"/>
        <v>1.0000000175186468</v>
      </c>
      <c r="G43">
        <f t="shared" si="4"/>
        <v>1.2533888084497275E-10</v>
      </c>
      <c r="H43">
        <f t="shared" si="5"/>
        <v>1.7518646350566128E-8</v>
      </c>
    </row>
    <row r="44" spans="1:8" x14ac:dyDescent="0.25">
      <c r="A44">
        <f t="shared" si="6"/>
        <v>7.2000000000000037</v>
      </c>
      <c r="B44">
        <f t="shared" si="7"/>
        <v>0.60000000000000031</v>
      </c>
      <c r="C44">
        <f t="shared" si="0"/>
        <v>6.3498806848107774E-11</v>
      </c>
      <c r="D44" s="4">
        <f t="shared" si="1"/>
        <v>1.0000000000634988</v>
      </c>
      <c r="E44">
        <f t="shared" si="2"/>
        <v>8.8752440799224589E-9</v>
      </c>
      <c r="F44" s="4">
        <f t="shared" si="3"/>
        <v>1.0000000088752441</v>
      </c>
      <c r="G44">
        <f t="shared" si="4"/>
        <v>6.3498806844075682E-11</v>
      </c>
      <c r="H44">
        <f t="shared" si="5"/>
        <v>8.8752440011525026E-9</v>
      </c>
    </row>
    <row r="45" spans="1:8" x14ac:dyDescent="0.25">
      <c r="A45">
        <f t="shared" si="6"/>
        <v>7.4000000000000039</v>
      </c>
      <c r="B45">
        <f t="shared" si="7"/>
        <v>0.61666666666666703</v>
      </c>
      <c r="C45">
        <f t="shared" si="0"/>
        <v>3.2169574544191756E-11</v>
      </c>
      <c r="D45" s="4">
        <f t="shared" si="1"/>
        <v>1.0000000000321696</v>
      </c>
      <c r="E45">
        <f t="shared" si="2"/>
        <v>4.4963494622808055E-9</v>
      </c>
      <c r="F45" s="4">
        <f t="shared" si="3"/>
        <v>1.0000000044963495</v>
      </c>
      <c r="G45">
        <f t="shared" si="4"/>
        <v>3.2169574543156876E-11</v>
      </c>
      <c r="H45">
        <f t="shared" si="5"/>
        <v>4.496349442063647E-9</v>
      </c>
    </row>
    <row r="46" spans="1:8" x14ac:dyDescent="0.25">
      <c r="A46">
        <f t="shared" si="6"/>
        <v>7.6000000000000041</v>
      </c>
      <c r="B46">
        <f t="shared" si="7"/>
        <v>0.63333333333333364</v>
      </c>
      <c r="C46">
        <f t="shared" si="0"/>
        <v>1.6297653101259124E-11</v>
      </c>
      <c r="D46" s="4">
        <f t="shared" si="1"/>
        <v>1.0000000000162976</v>
      </c>
      <c r="E46">
        <f t="shared" si="2"/>
        <v>2.2779270412053468E-9</v>
      </c>
      <c r="F46" s="4">
        <f t="shared" si="3"/>
        <v>1.000000002277927</v>
      </c>
      <c r="G46">
        <f t="shared" si="4"/>
        <v>1.6297653100993512E-11</v>
      </c>
      <c r="H46">
        <f t="shared" si="5"/>
        <v>2.2779270360163952E-9</v>
      </c>
    </row>
    <row r="47" spans="1:8" x14ac:dyDescent="0.25">
      <c r="A47">
        <f t="shared" si="6"/>
        <v>7.8000000000000043</v>
      </c>
      <c r="B47">
        <f t="shared" si="7"/>
        <v>0.65000000000000036</v>
      </c>
      <c r="C47">
        <f t="shared" si="0"/>
        <v>8.256667996777595E-12</v>
      </c>
      <c r="D47" s="4">
        <f t="shared" si="1"/>
        <v>1.0000000000082567</v>
      </c>
      <c r="E47">
        <f t="shared" si="2"/>
        <v>1.1540365464436954E-9</v>
      </c>
      <c r="F47" s="4">
        <f t="shared" si="3"/>
        <v>1.0000000011540366</v>
      </c>
      <c r="G47">
        <f t="shared" si="4"/>
        <v>8.2566679967094221E-12</v>
      </c>
      <c r="H47">
        <f t="shared" si="5"/>
        <v>1.1540365451118949E-9</v>
      </c>
    </row>
    <row r="48" spans="1:8" x14ac:dyDescent="0.25">
      <c r="A48">
        <f t="shared" si="6"/>
        <v>8.0000000000000036</v>
      </c>
      <c r="B48">
        <f t="shared" si="7"/>
        <v>0.66666666666666696</v>
      </c>
      <c r="C48">
        <f t="shared" si="0"/>
        <v>4.1829683074886985E-12</v>
      </c>
      <c r="D48" s="4">
        <f t="shared" si="1"/>
        <v>1.0000000000041829</v>
      </c>
      <c r="E48">
        <f t="shared" si="2"/>
        <v>5.8465452423927936E-10</v>
      </c>
      <c r="F48" s="4">
        <f t="shared" si="3"/>
        <v>1.0000000005846545</v>
      </c>
      <c r="G48">
        <f t="shared" si="4"/>
        <v>4.1829683074712016E-12</v>
      </c>
      <c r="H48">
        <f t="shared" si="5"/>
        <v>5.8465452389745844E-10</v>
      </c>
    </row>
    <row r="49" spans="1:8" x14ac:dyDescent="0.25">
      <c r="A49">
        <f t="shared" si="6"/>
        <v>8.2000000000000028</v>
      </c>
      <c r="B49">
        <f t="shared" si="7"/>
        <v>0.68333333333333357</v>
      </c>
      <c r="C49">
        <f t="shared" si="0"/>
        <v>2.1191628231005135E-12</v>
      </c>
      <c r="D49" s="4">
        <f t="shared" si="1"/>
        <v>1.0000000000021192</v>
      </c>
      <c r="E49">
        <f t="shared" si="2"/>
        <v>2.9619591664303952E-10</v>
      </c>
      <c r="F49" s="4">
        <f t="shared" si="3"/>
        <v>1.000000000296196</v>
      </c>
      <c r="G49">
        <f t="shared" si="4"/>
        <v>2.1191628230960225E-12</v>
      </c>
      <c r="H49">
        <f t="shared" si="5"/>
        <v>2.9619591655530751E-10</v>
      </c>
    </row>
    <row r="50" spans="1:8" x14ac:dyDescent="0.25">
      <c r="A50">
        <f>A49+0.2</f>
        <v>8.4000000000000021</v>
      </c>
      <c r="B50">
        <f t="shared" si="7"/>
        <v>0.70000000000000018</v>
      </c>
      <c r="C50">
        <f t="shared" si="0"/>
        <v>1.0736038957721545E-12</v>
      </c>
      <c r="D50" s="4">
        <f t="shared" si="1"/>
        <v>1.0000000000010736</v>
      </c>
      <c r="E50">
        <f t="shared" si="2"/>
        <v>1.5005788444066562E-10</v>
      </c>
      <c r="F50" s="4">
        <f t="shared" si="3"/>
        <v>1.000000000150058</v>
      </c>
      <c r="G50">
        <f t="shared" si="4"/>
        <v>1.073603895771002E-12</v>
      </c>
      <c r="H50">
        <f t="shared" si="5"/>
        <v>1.5005788441814824E-10</v>
      </c>
    </row>
    <row r="51" spans="1:8" x14ac:dyDescent="0.25">
      <c r="A51">
        <f t="shared" si="6"/>
        <v>8.6000000000000014</v>
      </c>
      <c r="B51">
        <f t="shared" si="7"/>
        <v>0.71666666666666679</v>
      </c>
      <c r="C51">
        <f t="shared" si="0"/>
        <v>5.4390597666807095E-13</v>
      </c>
      <c r="D51" s="4">
        <f t="shared" si="1"/>
        <v>1.000000000000544</v>
      </c>
      <c r="E51">
        <f t="shared" si="2"/>
        <v>7.6021874096073508E-11</v>
      </c>
      <c r="F51" s="4">
        <f t="shared" si="3"/>
        <v>1.0000000000760219</v>
      </c>
      <c r="G51">
        <f t="shared" si="4"/>
        <v>5.4390597666777509E-13</v>
      </c>
      <c r="H51">
        <f t="shared" si="5"/>
        <v>7.6021874090294178E-11</v>
      </c>
    </row>
    <row r="52" spans="1:8" x14ac:dyDescent="0.25">
      <c r="A52">
        <f t="shared" si="6"/>
        <v>8.8000000000000007</v>
      </c>
      <c r="B52">
        <f t="shared" si="7"/>
        <v>0.73333333333333339</v>
      </c>
      <c r="C52">
        <f t="shared" si="0"/>
        <v>2.7555201002924672E-13</v>
      </c>
      <c r="D52" s="4">
        <f t="shared" si="1"/>
        <v>1.0000000000002756</v>
      </c>
      <c r="E52">
        <f t="shared" si="2"/>
        <v>3.8513973208548302E-11</v>
      </c>
      <c r="F52" s="4">
        <f t="shared" si="3"/>
        <v>1.0000000000385141</v>
      </c>
      <c r="G52">
        <f t="shared" si="4"/>
        <v>2.7555201002917079E-13</v>
      </c>
      <c r="H52">
        <f t="shared" si="5"/>
        <v>3.8513973207064973E-11</v>
      </c>
    </row>
    <row r="53" spans="1:8" x14ac:dyDescent="0.25">
      <c r="A53">
        <f t="shared" si="6"/>
        <v>9</v>
      </c>
      <c r="B53">
        <f t="shared" si="7"/>
        <v>0.75</v>
      </c>
      <c r="C53">
        <f t="shared" si="0"/>
        <v>1.3959933056131029E-13</v>
      </c>
      <c r="D53" s="4">
        <f t="shared" si="1"/>
        <v>1.0000000000001397</v>
      </c>
      <c r="E53">
        <f t="shared" si="2"/>
        <v>1.9511833270963712E-11</v>
      </c>
      <c r="F53" s="4">
        <f t="shared" si="3"/>
        <v>1.0000000000195117</v>
      </c>
      <c r="G53">
        <f t="shared" si="4"/>
        <v>1.395993305612908E-13</v>
      </c>
      <c r="H53">
        <f t="shared" si="5"/>
        <v>1.9511833270583002E-11</v>
      </c>
    </row>
    <row r="54" spans="1:8" x14ac:dyDescent="0.25">
      <c r="A54">
        <f t="shared" si="6"/>
        <v>9.1999999999999993</v>
      </c>
      <c r="B54">
        <f t="shared" si="7"/>
        <v>0.76666666666666661</v>
      </c>
      <c r="C54">
        <f t="shared" si="0"/>
        <v>7.0723392985221027E-14</v>
      </c>
      <c r="D54" s="4">
        <f t="shared" si="1"/>
        <v>1.0000000000000708</v>
      </c>
      <c r="E54">
        <f t="shared" si="2"/>
        <v>9.8850262872745184E-12</v>
      </c>
      <c r="F54" s="4">
        <f t="shared" si="3"/>
        <v>1.000000000009885</v>
      </c>
      <c r="G54">
        <f t="shared" si="4"/>
        <v>7.0723392985216016E-14</v>
      </c>
      <c r="H54">
        <f t="shared" si="5"/>
        <v>9.8850262871768044E-12</v>
      </c>
    </row>
    <row r="55" spans="1:8" x14ac:dyDescent="0.25">
      <c r="A55">
        <f t="shared" si="6"/>
        <v>9.3999999999999986</v>
      </c>
      <c r="B55">
        <f t="shared" si="7"/>
        <v>0.78333333333333321</v>
      </c>
      <c r="C55">
        <f t="shared" si="0"/>
        <v>3.5829672644062324E-14</v>
      </c>
      <c r="D55" s="4">
        <f t="shared" si="1"/>
        <v>1.0000000000000357</v>
      </c>
      <c r="E55">
        <f t="shared" si="2"/>
        <v>5.0079222871138089E-12</v>
      </c>
      <c r="F55" s="4">
        <f t="shared" si="3"/>
        <v>1.000000000005008</v>
      </c>
      <c r="G55">
        <f t="shared" si="4"/>
        <v>3.5829672644061043E-14</v>
      </c>
      <c r="H55">
        <f t="shared" si="5"/>
        <v>5.0079222870887293E-12</v>
      </c>
    </row>
    <row r="56" spans="1:8" x14ac:dyDescent="0.25">
      <c r="A56">
        <f t="shared" si="6"/>
        <v>9.5999999999999979</v>
      </c>
      <c r="B56">
        <f t="shared" si="7"/>
        <v>0.79999999999999982</v>
      </c>
      <c r="C56">
        <f t="shared" si="0"/>
        <v>1.8151920992378504E-14</v>
      </c>
      <c r="D56" s="4">
        <f t="shared" si="1"/>
        <v>1.0000000000000182</v>
      </c>
      <c r="E56">
        <f t="shared" si="2"/>
        <v>2.5370985270982031E-12</v>
      </c>
      <c r="F56" s="4">
        <f t="shared" si="3"/>
        <v>1.0000000000025371</v>
      </c>
      <c r="G56">
        <f t="shared" si="4"/>
        <v>1.8151920992378173E-14</v>
      </c>
      <c r="H56">
        <f t="shared" si="5"/>
        <v>2.5370985270917662E-12</v>
      </c>
    </row>
    <row r="57" spans="1:8" x14ac:dyDescent="0.25">
      <c r="A57">
        <f t="shared" si="6"/>
        <v>9.7999999999999972</v>
      </c>
      <c r="B57">
        <f t="shared" si="7"/>
        <v>0.81666666666666643</v>
      </c>
      <c r="C57">
        <f t="shared" si="0"/>
        <v>9.196071618816674E-15</v>
      </c>
      <c r="D57" s="4">
        <f t="shared" si="1"/>
        <v>1.0000000000000091</v>
      </c>
      <c r="E57">
        <f t="shared" si="2"/>
        <v>1.2853372251336685E-12</v>
      </c>
      <c r="F57" s="4">
        <f t="shared" si="3"/>
        <v>1.0000000000012854</v>
      </c>
      <c r="G57">
        <f t="shared" si="4"/>
        <v>9.1960716188165904E-15</v>
      </c>
      <c r="H57">
        <f t="shared" si="5"/>
        <v>1.2853372251320164E-12</v>
      </c>
    </row>
    <row r="58" spans="1:8" x14ac:dyDescent="0.25">
      <c r="A58">
        <f t="shared" si="6"/>
        <v>9.9999999999999964</v>
      </c>
      <c r="B58">
        <f t="shared" si="7"/>
        <v>0.83333333333333304</v>
      </c>
      <c r="C58">
        <f t="shared" si="0"/>
        <v>4.6588861451034632E-15</v>
      </c>
      <c r="D58" s="4">
        <f t="shared" si="1"/>
        <v>1.0000000000000047</v>
      </c>
      <c r="E58">
        <f t="shared" si="2"/>
        <v>6.5117367917275202E-13</v>
      </c>
      <c r="F58" s="4">
        <f t="shared" si="3"/>
        <v>1.0000000000006513</v>
      </c>
      <c r="G58">
        <f t="shared" si="4"/>
        <v>4.6588861451034411E-15</v>
      </c>
      <c r="H58">
        <f t="shared" si="5"/>
        <v>6.5117367917232793E-13</v>
      </c>
    </row>
    <row r="59" spans="1:8" x14ac:dyDescent="0.25">
      <c r="A59">
        <f t="shared" si="6"/>
        <v>10.199999999999996</v>
      </c>
      <c r="B59">
        <f t="shared" si="7"/>
        <v>0.84999999999999964</v>
      </c>
      <c r="C59">
        <f t="shared" si="0"/>
        <v>2.3602708866060335E-15</v>
      </c>
      <c r="D59" s="4">
        <f t="shared" si="1"/>
        <v>1.0000000000000024</v>
      </c>
      <c r="E59">
        <f t="shared" si="2"/>
        <v>3.2989565085013513E-13</v>
      </c>
      <c r="F59" s="4">
        <f t="shared" si="3"/>
        <v>1.00000000000033</v>
      </c>
      <c r="G59">
        <f t="shared" si="4"/>
        <v>2.3602708866060276E-15</v>
      </c>
      <c r="H59">
        <f t="shared" si="5"/>
        <v>3.2989565085002628E-13</v>
      </c>
    </row>
    <row r="60" spans="1:8" x14ac:dyDescent="0.25">
      <c r="A60">
        <f t="shared" si="6"/>
        <v>10.399999999999995</v>
      </c>
      <c r="B60">
        <f t="shared" si="7"/>
        <v>0.86666666666666625</v>
      </c>
      <c r="C60">
        <f t="shared" si="0"/>
        <v>1.1957533377404211E-15</v>
      </c>
      <c r="D60" s="4">
        <f t="shared" si="1"/>
        <v>1.0000000000000011</v>
      </c>
      <c r="E60">
        <f t="shared" si="2"/>
        <v>1.6713074242818536E-13</v>
      </c>
      <c r="F60" s="4">
        <f t="shared" si="3"/>
        <v>1.0000000000001672</v>
      </c>
      <c r="G60">
        <f t="shared" si="4"/>
        <v>1.1957533377404197E-15</v>
      </c>
      <c r="H60">
        <f t="shared" si="5"/>
        <v>1.6713074242815742E-13</v>
      </c>
    </row>
    <row r="61" spans="1:8" x14ac:dyDescent="0.25">
      <c r="A61">
        <f t="shared" si="6"/>
        <v>10.599999999999994</v>
      </c>
      <c r="B61">
        <f t="shared" si="7"/>
        <v>0.88333333333333286</v>
      </c>
      <c r="C61">
        <f t="shared" si="0"/>
        <v>6.0578895957716732E-16</v>
      </c>
      <c r="D61" s="4">
        <f t="shared" si="1"/>
        <v>1.0000000000000007</v>
      </c>
      <c r="E61">
        <f t="shared" si="2"/>
        <v>8.4671274060795331E-14</v>
      </c>
      <c r="F61" s="4">
        <f t="shared" si="3"/>
        <v>1.0000000000000846</v>
      </c>
      <c r="G61">
        <f t="shared" si="4"/>
        <v>6.0578895957716692E-16</v>
      </c>
      <c r="H61">
        <f t="shared" si="5"/>
        <v>8.4671274060788162E-14</v>
      </c>
    </row>
    <row r="62" spans="1:8" x14ac:dyDescent="0.25">
      <c r="A62">
        <f>A61+0.2</f>
        <v>10.799999999999994</v>
      </c>
      <c r="B62">
        <f t="shared" si="7"/>
        <v>0.89999999999999947</v>
      </c>
      <c r="C62">
        <f t="shared" si="0"/>
        <v>3.0690298070926437E-16</v>
      </c>
      <c r="D62" s="4">
        <f t="shared" si="1"/>
        <v>1.0000000000000002</v>
      </c>
      <c r="E62">
        <f t="shared" si="2"/>
        <v>4.2895906204442704E-14</v>
      </c>
      <c r="F62" s="4">
        <f t="shared" si="3"/>
        <v>1.0000000000000429</v>
      </c>
      <c r="G62">
        <f t="shared" si="4"/>
        <v>3.0690298070926432E-16</v>
      </c>
      <c r="H62">
        <f t="shared" si="5"/>
        <v>4.2895906204440868E-14</v>
      </c>
    </row>
    <row r="63" spans="1:8" x14ac:dyDescent="0.25">
      <c r="A63">
        <f t="shared" si="6"/>
        <v>10.999999999999993</v>
      </c>
      <c r="B63">
        <f t="shared" si="7"/>
        <v>0.91666666666666607</v>
      </c>
      <c r="C63">
        <f t="shared" si="0"/>
        <v>1.5548226503496323E-16</v>
      </c>
      <c r="D63" s="4">
        <f t="shared" si="1"/>
        <v>1.0000000000000002</v>
      </c>
      <c r="E63">
        <f t="shared" si="2"/>
        <v>2.1731794986091358E-14</v>
      </c>
      <c r="F63" s="4">
        <f t="shared" si="3"/>
        <v>1.0000000000000218</v>
      </c>
      <c r="G63">
        <f t="shared" si="4"/>
        <v>1.554822650349632E-16</v>
      </c>
      <c r="H63">
        <f t="shared" si="5"/>
        <v>2.1731794986090885E-14</v>
      </c>
    </row>
    <row r="64" spans="1:8" x14ac:dyDescent="0.25">
      <c r="A64">
        <f t="shared" si="6"/>
        <v>11.199999999999992</v>
      </c>
      <c r="B64">
        <f t="shared" si="7"/>
        <v>0.93333333333333268</v>
      </c>
      <c r="C64">
        <f t="shared" si="0"/>
        <v>7.8769957478202569E-17</v>
      </c>
      <c r="D64" s="4">
        <f t="shared" si="1"/>
        <v>1</v>
      </c>
      <c r="E64">
        <f t="shared" si="2"/>
        <v>1.1009696614559168E-14</v>
      </c>
      <c r="F64" s="4">
        <f t="shared" si="3"/>
        <v>1.0000000000000111</v>
      </c>
      <c r="G64">
        <f t="shared" si="4"/>
        <v>7.8769957478202569E-17</v>
      </c>
      <c r="H64">
        <f t="shared" si="5"/>
        <v>1.1009696614559046E-14</v>
      </c>
    </row>
    <row r="65" spans="1:16" x14ac:dyDescent="0.25">
      <c r="A65">
        <f t="shared" si="6"/>
        <v>11.399999999999991</v>
      </c>
      <c r="B65">
        <f t="shared" si="7"/>
        <v>0.94999999999999929</v>
      </c>
      <c r="C65">
        <f t="shared" si="0"/>
        <v>3.9906198946372376E-17</v>
      </c>
      <c r="D65" s="4">
        <f t="shared" si="1"/>
        <v>1</v>
      </c>
      <c r="E65">
        <f t="shared" si="2"/>
        <v>5.5776993857255816E-15</v>
      </c>
      <c r="F65" s="4">
        <f t="shared" si="3"/>
        <v>1.0000000000000056</v>
      </c>
      <c r="G65">
        <f t="shared" si="4"/>
        <v>3.9906198946372376E-17</v>
      </c>
      <c r="H65">
        <f t="shared" si="5"/>
        <v>5.5776993857255509E-15</v>
      </c>
    </row>
    <row r="66" spans="1:16" x14ac:dyDescent="0.25">
      <c r="A66">
        <f t="shared" si="6"/>
        <v>11.599999999999991</v>
      </c>
      <c r="B66">
        <f t="shared" si="7"/>
        <v>0.9666666666666659</v>
      </c>
      <c r="C66">
        <f t="shared" si="0"/>
        <v>2.021715848695404E-17</v>
      </c>
      <c r="D66" s="4">
        <f t="shared" si="1"/>
        <v>1</v>
      </c>
      <c r="E66">
        <f t="shared" si="2"/>
        <v>2.8257572871156915E-15</v>
      </c>
      <c r="F66" s="4">
        <f t="shared" si="3"/>
        <v>1.0000000000000029</v>
      </c>
      <c r="G66">
        <f t="shared" si="4"/>
        <v>2.021715848695404E-17</v>
      </c>
      <c r="H66">
        <f t="shared" si="5"/>
        <v>2.8257572871156832E-15</v>
      </c>
    </row>
    <row r="67" spans="1:16" x14ac:dyDescent="0.25">
      <c r="A67">
        <f t="shared" si="6"/>
        <v>11.79999999999999</v>
      </c>
      <c r="B67">
        <f t="shared" si="7"/>
        <v>0.9833333333333325</v>
      </c>
      <c r="C67">
        <f t="shared" si="0"/>
        <v>1.0242356026839187E-17</v>
      </c>
      <c r="D67" s="4">
        <f t="shared" si="1"/>
        <v>1</v>
      </c>
      <c r="E67">
        <f t="shared" si="2"/>
        <v>1.4315766579537101E-15</v>
      </c>
      <c r="F67" s="4">
        <f t="shared" si="3"/>
        <v>1.0000000000000013</v>
      </c>
      <c r="G67">
        <f t="shared" si="4"/>
        <v>1.0242356026839187E-17</v>
      </c>
      <c r="H67">
        <f t="shared" si="5"/>
        <v>1.4315766579537081E-15</v>
      </c>
    </row>
    <row r="68" spans="1:16" x14ac:dyDescent="0.25">
      <c r="A68">
        <f t="shared" si="6"/>
        <v>11.999999999999989</v>
      </c>
      <c r="B68">
        <f t="shared" si="7"/>
        <v>0.99999999999999911</v>
      </c>
      <c r="C68">
        <f t="shared" si="0"/>
        <v>5.1889516050548405E-18</v>
      </c>
      <c r="D68" s="4">
        <f t="shared" si="1"/>
        <v>1</v>
      </c>
      <c r="E68">
        <f t="shared" si="2"/>
        <v>7.2526106079329123E-16</v>
      </c>
      <c r="F68" s="4">
        <f t="shared" si="3"/>
        <v>1.0000000000000007</v>
      </c>
      <c r="G68">
        <f t="shared" si="4"/>
        <v>5.1889516050548405E-18</v>
      </c>
      <c r="H68">
        <f t="shared" si="5"/>
        <v>7.2526106079329074E-16</v>
      </c>
    </row>
    <row r="70" spans="1:16" x14ac:dyDescent="0.25">
      <c r="A70" s="5" t="s">
        <v>41</v>
      </c>
    </row>
    <row r="72" spans="1:16" x14ac:dyDescent="0.25">
      <c r="D72" s="2" t="s">
        <v>44</v>
      </c>
      <c r="E72" s="2" t="s">
        <v>45</v>
      </c>
      <c r="F72" s="2" t="s">
        <v>48</v>
      </c>
      <c r="G72" s="2" t="s">
        <v>49</v>
      </c>
    </row>
    <row r="73" spans="1:16" x14ac:dyDescent="0.25">
      <c r="A73">
        <v>1</v>
      </c>
      <c r="B73" t="s">
        <v>14</v>
      </c>
      <c r="C73" t="s">
        <v>42</v>
      </c>
      <c r="D73" s="8" t="s">
        <v>55</v>
      </c>
      <c r="E73" s="8" t="s">
        <v>56</v>
      </c>
      <c r="F73" s="8">
        <v>1.99</v>
      </c>
      <c r="G73" s="8">
        <v>0.27600000000000002</v>
      </c>
      <c r="I73" s="6"/>
    </row>
    <row r="74" spans="1:16" x14ac:dyDescent="0.25">
      <c r="J74" s="7"/>
      <c r="K74" s="7"/>
      <c r="L74" s="7"/>
      <c r="M74" s="7"/>
      <c r="N74" s="7"/>
      <c r="O74" s="7"/>
      <c r="P74" s="7"/>
    </row>
    <row r="77" spans="1:16" x14ac:dyDescent="0.25">
      <c r="B77" t="s">
        <v>43</v>
      </c>
    </row>
    <row r="78" spans="1:16" x14ac:dyDescent="0.25">
      <c r="B78" s="2" t="s">
        <v>38</v>
      </c>
      <c r="C78" s="8" t="s">
        <v>50</v>
      </c>
    </row>
    <row r="79" spans="1:16" x14ac:dyDescent="0.25">
      <c r="A79">
        <v>0</v>
      </c>
      <c r="B79" s="8">
        <v>0</v>
      </c>
      <c r="C79" s="8">
        <v>0</v>
      </c>
    </row>
    <row r="80" spans="1:16" x14ac:dyDescent="0.25">
      <c r="A80">
        <f>1/2</f>
        <v>0.5</v>
      </c>
      <c r="B80">
        <f>(_xlfn.LOGNORM.DIST(A80,$D$73,$E$73,FALSE))/2</f>
        <v>2.5848411232292486E-13</v>
      </c>
      <c r="C80">
        <f t="shared" ref="C80:C103" si="8">(_xlfn.LOGNORM.DIST(A80,$F$73,$G$73,FALSE))/2</f>
        <v>4.3425314011269468E-21</v>
      </c>
    </row>
    <row r="81" spans="1:3" x14ac:dyDescent="0.25">
      <c r="A81">
        <f>A80+0.5</f>
        <v>1</v>
      </c>
      <c r="B81">
        <f t="shared" ref="B81:B103" si="9">(_xlfn.LOGNORM.DIST(A81,$D$73,$E$73,FALSE))/2</f>
        <v>1.7620253294299231E-7</v>
      </c>
      <c r="C81">
        <f t="shared" si="8"/>
        <v>3.7180334178741307E-12</v>
      </c>
    </row>
    <row r="82" spans="1:3" x14ac:dyDescent="0.25">
      <c r="A82">
        <f t="shared" ref="A82:A119" si="10">A81+0.5</f>
        <v>1.5</v>
      </c>
      <c r="B82">
        <f t="shared" si="9"/>
        <v>5.3294558685292035E-5</v>
      </c>
      <c r="C82">
        <f t="shared" si="8"/>
        <v>3.3553324887152921E-8</v>
      </c>
    </row>
    <row r="83" spans="1:3" x14ac:dyDescent="0.25">
      <c r="A83">
        <f t="shared" si="10"/>
        <v>2</v>
      </c>
      <c r="B83">
        <f t="shared" si="9"/>
        <v>1.1739389090311761E-3</v>
      </c>
      <c r="C83">
        <f t="shared" si="8"/>
        <v>5.8039772683855778E-6</v>
      </c>
    </row>
    <row r="84" spans="1:3" x14ac:dyDescent="0.25">
      <c r="A84">
        <f t="shared" si="10"/>
        <v>2.5</v>
      </c>
      <c r="B84">
        <f t="shared" si="9"/>
        <v>7.4627447929920101E-3</v>
      </c>
      <c r="C84">
        <f t="shared" si="8"/>
        <v>1.4952479248134471E-4</v>
      </c>
    </row>
    <row r="85" spans="1:3" x14ac:dyDescent="0.25">
      <c r="A85">
        <f t="shared" si="10"/>
        <v>3</v>
      </c>
      <c r="B85">
        <f t="shared" si="9"/>
        <v>2.3690476726584558E-2</v>
      </c>
      <c r="C85">
        <f t="shared" si="8"/>
        <v>1.3087096853981925E-3</v>
      </c>
    </row>
    <row r="86" spans="1:3" x14ac:dyDescent="0.25">
      <c r="A86">
        <f t="shared" si="10"/>
        <v>3.5</v>
      </c>
      <c r="B86">
        <f t="shared" si="9"/>
        <v>4.9005191958948195E-2</v>
      </c>
      <c r="C86">
        <f t="shared" si="8"/>
        <v>5.828405215873805E-3</v>
      </c>
    </row>
    <row r="87" spans="1:3" x14ac:dyDescent="0.25">
      <c r="A87">
        <f t="shared" si="10"/>
        <v>4</v>
      </c>
      <c r="B87">
        <f t="shared" si="9"/>
        <v>7.6442327910127658E-2</v>
      </c>
      <c r="C87">
        <f t="shared" si="8"/>
        <v>1.6518865203752803E-2</v>
      </c>
    </row>
    <row r="88" spans="1:3" x14ac:dyDescent="0.25">
      <c r="A88">
        <f t="shared" si="10"/>
        <v>4.5</v>
      </c>
      <c r="B88">
        <f t="shared" si="9"/>
        <v>9.8115331829571842E-2</v>
      </c>
      <c r="C88">
        <f t="shared" si="8"/>
        <v>3.409359436260341E-2</v>
      </c>
    </row>
    <row r="89" spans="1:3" x14ac:dyDescent="0.25">
      <c r="A89">
        <f t="shared" si="10"/>
        <v>5</v>
      </c>
      <c r="B89">
        <f t="shared" si="9"/>
        <v>0.1095290323716127</v>
      </c>
      <c r="C89">
        <f t="shared" si="8"/>
        <v>5.5867061391322297E-2</v>
      </c>
    </row>
    <row r="90" spans="1:3" x14ac:dyDescent="0.25">
      <c r="A90">
        <f t="shared" si="10"/>
        <v>5.5</v>
      </c>
      <c r="B90">
        <f t="shared" si="9"/>
        <v>0.11034599801770344</v>
      </c>
      <c r="C90">
        <f t="shared" si="8"/>
        <v>7.7029821494860762E-2</v>
      </c>
    </row>
    <row r="91" spans="1:3" x14ac:dyDescent="0.25">
      <c r="A91">
        <f t="shared" si="10"/>
        <v>6</v>
      </c>
      <c r="B91">
        <f t="shared" si="9"/>
        <v>0.10292474204356325</v>
      </c>
      <c r="C91">
        <f t="shared" si="8"/>
        <v>9.3066453300431937E-2</v>
      </c>
    </row>
    <row r="92" spans="1:3" x14ac:dyDescent="0.25">
      <c r="A92">
        <f>A91+0.5</f>
        <v>6.5</v>
      </c>
      <c r="B92">
        <f t="shared" si="9"/>
        <v>9.051807187810193E-2</v>
      </c>
      <c r="C92">
        <f t="shared" si="8"/>
        <v>0.1014454781608068</v>
      </c>
    </row>
    <row r="93" spans="1:3" x14ac:dyDescent="0.25">
      <c r="A93">
        <f t="shared" si="10"/>
        <v>7</v>
      </c>
      <c r="B93">
        <f t="shared" si="9"/>
        <v>7.6066171660135087E-2</v>
      </c>
      <c r="C93">
        <f t="shared" si="8"/>
        <v>0.1019369477923481</v>
      </c>
    </row>
    <row r="94" spans="1:3" x14ac:dyDescent="0.25">
      <c r="A94">
        <f t="shared" si="10"/>
        <v>7.5</v>
      </c>
      <c r="B94">
        <f t="shared" si="9"/>
        <v>6.168940998626242E-2</v>
      </c>
      <c r="C94">
        <f t="shared" si="8"/>
        <v>9.5971414518528336E-2</v>
      </c>
    </row>
    <row r="95" spans="1:3" x14ac:dyDescent="0.25">
      <c r="A95">
        <f t="shared" si="10"/>
        <v>8</v>
      </c>
      <c r="B95">
        <f t="shared" si="9"/>
        <v>4.8649386566702986E-2</v>
      </c>
      <c r="C95">
        <f t="shared" si="8"/>
        <v>8.5718943230706682E-2</v>
      </c>
    </row>
    <row r="96" spans="1:3" x14ac:dyDescent="0.25">
      <c r="A96">
        <f t="shared" si="10"/>
        <v>8.5</v>
      </c>
      <c r="B96">
        <f t="shared" si="9"/>
        <v>3.7525516605276706E-2</v>
      </c>
      <c r="C96">
        <f t="shared" si="8"/>
        <v>7.3342715790391921E-2</v>
      </c>
    </row>
    <row r="97" spans="1:3" x14ac:dyDescent="0.25">
      <c r="A97">
        <f t="shared" si="10"/>
        <v>9</v>
      </c>
      <c r="B97">
        <f t="shared" si="9"/>
        <v>2.8440710651411807E-2</v>
      </c>
      <c r="C97">
        <f t="shared" si="8"/>
        <v>6.057842494072694E-2</v>
      </c>
    </row>
    <row r="98" spans="1:3" x14ac:dyDescent="0.25">
      <c r="A98">
        <f t="shared" si="10"/>
        <v>9.5</v>
      </c>
      <c r="B98">
        <f t="shared" si="9"/>
        <v>2.1256215658592693E-2</v>
      </c>
      <c r="C98">
        <f t="shared" si="8"/>
        <v>4.8598993529531218E-2</v>
      </c>
    </row>
    <row r="99" spans="1:3" x14ac:dyDescent="0.25">
      <c r="A99">
        <f t="shared" si="10"/>
        <v>10</v>
      </c>
      <c r="B99">
        <f t="shared" si="9"/>
        <v>1.5711403016479601E-2</v>
      </c>
      <c r="C99">
        <f t="shared" si="8"/>
        <v>3.8057524910548715E-2</v>
      </c>
    </row>
    <row r="100" spans="1:3" x14ac:dyDescent="0.25">
      <c r="A100">
        <f t="shared" si="10"/>
        <v>10.5</v>
      </c>
      <c r="B100">
        <f t="shared" si="9"/>
        <v>1.1511608527876801E-2</v>
      </c>
      <c r="C100">
        <f t="shared" si="8"/>
        <v>2.9208955469503407E-2</v>
      </c>
    </row>
    <row r="101" spans="1:3" x14ac:dyDescent="0.25">
      <c r="A101">
        <f t="shared" si="10"/>
        <v>11</v>
      </c>
      <c r="B101">
        <f t="shared" si="9"/>
        <v>8.3766002955381821E-3</v>
      </c>
      <c r="C101">
        <f t="shared" si="8"/>
        <v>2.2044473932779904E-2</v>
      </c>
    </row>
    <row r="102" spans="1:3" x14ac:dyDescent="0.25">
      <c r="A102">
        <f t="shared" si="10"/>
        <v>11.5</v>
      </c>
      <c r="B102">
        <f t="shared" si="9"/>
        <v>6.0628859465059895E-3</v>
      </c>
      <c r="C102">
        <f t="shared" si="8"/>
        <v>1.6405508852818256E-2</v>
      </c>
    </row>
    <row r="103" spans="1:3" x14ac:dyDescent="0.25">
      <c r="A103">
        <f t="shared" si="10"/>
        <v>12</v>
      </c>
      <c r="B103">
        <f t="shared" si="9"/>
        <v>4.3703964166993776E-3</v>
      </c>
      <c r="C103">
        <f t="shared" si="8"/>
        <v>1.2066605188838534E-2</v>
      </c>
    </row>
    <row r="104" spans="1:3" x14ac:dyDescent="0.25">
      <c r="A104">
        <f t="shared" si="10"/>
        <v>12.5</v>
      </c>
      <c r="B104">
        <f t="shared" ref="B104:B119" si="11">(_xlfn.LOGNORM.DIST(A104,$D$73,$E$73,FALSE))/2</f>
        <v>3.1408449801237559E-3</v>
      </c>
      <c r="C104">
        <f t="shared" ref="C104:C119" si="12">(_xlfn.LOGNORM.DIST(A104,$F$73,$G$73,FALSE))/2</f>
        <v>8.7886921361276637E-3</v>
      </c>
    </row>
    <row r="105" spans="1:3" x14ac:dyDescent="0.25">
      <c r="A105">
        <f t="shared" si="10"/>
        <v>13</v>
      </c>
      <c r="B105">
        <f t="shared" si="11"/>
        <v>2.2523376136747439E-3</v>
      </c>
      <c r="C105">
        <f t="shared" si="12"/>
        <v>6.3491311758083462E-3</v>
      </c>
    </row>
    <row r="106" spans="1:3" x14ac:dyDescent="0.25">
      <c r="A106">
        <f t="shared" si="10"/>
        <v>13.5</v>
      </c>
      <c r="B106">
        <f t="shared" si="11"/>
        <v>1.6128570409143722E-3</v>
      </c>
      <c r="C106">
        <f t="shared" si="12"/>
        <v>4.555695103959095E-3</v>
      </c>
    </row>
    <row r="107" spans="1:3" x14ac:dyDescent="0.25">
      <c r="A107">
        <f t="shared" si="10"/>
        <v>14</v>
      </c>
      <c r="B107">
        <f t="shared" si="11"/>
        <v>1.1539741511349989E-3</v>
      </c>
      <c r="C107">
        <f t="shared" si="12"/>
        <v>3.2505406825359502E-3</v>
      </c>
    </row>
    <row r="108" spans="1:3" x14ac:dyDescent="0.25">
      <c r="A108">
        <f t="shared" si="10"/>
        <v>14.5</v>
      </c>
      <c r="B108">
        <f t="shared" si="11"/>
        <v>8.2537997745541077E-4</v>
      </c>
      <c r="C108">
        <f t="shared" si="12"/>
        <v>2.3086246587073105E-3</v>
      </c>
    </row>
    <row r="109" spans="1:3" x14ac:dyDescent="0.25">
      <c r="A109">
        <f t="shared" si="10"/>
        <v>15</v>
      </c>
      <c r="B109">
        <f t="shared" si="11"/>
        <v>5.9041028522770179E-4</v>
      </c>
      <c r="C109">
        <f t="shared" si="12"/>
        <v>1.633510568939889E-3</v>
      </c>
    </row>
    <row r="110" spans="1:3" x14ac:dyDescent="0.25">
      <c r="A110">
        <f t="shared" si="10"/>
        <v>15.5</v>
      </c>
      <c r="B110">
        <f t="shared" si="11"/>
        <v>4.2252371996932987E-4</v>
      </c>
      <c r="C110">
        <f t="shared" si="12"/>
        <v>1.1523473264900847E-3</v>
      </c>
    </row>
    <row r="111" spans="1:3" x14ac:dyDescent="0.25">
      <c r="A111">
        <f t="shared" si="10"/>
        <v>16</v>
      </c>
      <c r="B111">
        <f t="shared" si="11"/>
        <v>3.0260485387188514E-4</v>
      </c>
      <c r="C111">
        <f t="shared" si="12"/>
        <v>8.109900013113147E-4</v>
      </c>
    </row>
    <row r="112" spans="1:3" x14ac:dyDescent="0.25">
      <c r="A112">
        <f t="shared" si="10"/>
        <v>16.5</v>
      </c>
      <c r="B112">
        <f t="shared" si="11"/>
        <v>2.1693918915175858E-4</v>
      </c>
      <c r="C112">
        <f t="shared" si="12"/>
        <v>5.6971625518409614E-4</v>
      </c>
    </row>
    <row r="113" spans="1:3" x14ac:dyDescent="0.25">
      <c r="A113">
        <f t="shared" si="10"/>
        <v>17</v>
      </c>
      <c r="B113">
        <f t="shared" si="11"/>
        <v>1.5571473312974584E-4</v>
      </c>
      <c r="C113">
        <f t="shared" si="12"/>
        <v>3.996880333013816E-4</v>
      </c>
    </row>
    <row r="114" spans="1:3" x14ac:dyDescent="0.25">
      <c r="A114">
        <f t="shared" si="10"/>
        <v>17.5</v>
      </c>
      <c r="B114">
        <f t="shared" si="11"/>
        <v>1.1192534066793937E-4</v>
      </c>
      <c r="C114">
        <f t="shared" si="12"/>
        <v>2.8014583547112E-4</v>
      </c>
    </row>
    <row r="115" spans="1:3" x14ac:dyDescent="0.25">
      <c r="A115">
        <f t="shared" si="10"/>
        <v>18</v>
      </c>
      <c r="B115">
        <f t="shared" si="11"/>
        <v>8.0574768814409357E-5</v>
      </c>
      <c r="C115">
        <f t="shared" si="12"/>
        <v>1.9624800815476486E-4</v>
      </c>
    </row>
    <row r="116" spans="1:3" x14ac:dyDescent="0.25">
      <c r="A116">
        <f t="shared" si="10"/>
        <v>18.5</v>
      </c>
      <c r="B116">
        <f t="shared" si="11"/>
        <v>5.8102636585154978E-5</v>
      </c>
      <c r="C116">
        <f t="shared" si="12"/>
        <v>1.3744271352622366E-4</v>
      </c>
    </row>
    <row r="117" spans="1:3" x14ac:dyDescent="0.25">
      <c r="A117">
        <f t="shared" si="10"/>
        <v>19</v>
      </c>
      <c r="B117">
        <f t="shared" si="11"/>
        <v>4.1972401371019243E-5</v>
      </c>
      <c r="C117">
        <f t="shared" si="12"/>
        <v>9.6261662481984451E-5</v>
      </c>
    </row>
    <row r="118" spans="1:3" x14ac:dyDescent="0.25">
      <c r="A118">
        <f t="shared" si="10"/>
        <v>19.5</v>
      </c>
      <c r="B118">
        <f t="shared" si="11"/>
        <v>3.037667698996102E-5</v>
      </c>
      <c r="C118">
        <f t="shared" si="12"/>
        <v>6.7438013777388925E-5</v>
      </c>
    </row>
    <row r="119" spans="1:3" x14ac:dyDescent="0.25">
      <c r="A119">
        <f t="shared" si="10"/>
        <v>20</v>
      </c>
      <c r="B119">
        <f t="shared" si="11"/>
        <v>2.2027019898483199E-5</v>
      </c>
      <c r="C119">
        <f t="shared" si="12"/>
        <v>4.7268012871471713E-5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 sizeWithCells="1">
              <from>
                <xdr:col>1</xdr:col>
                <xdr:colOff>0</xdr:colOff>
                <xdr:row>2</xdr:row>
                <xdr:rowOff>0</xdr:rowOff>
              </from>
              <to>
                <xdr:col>3</xdr:col>
                <xdr:colOff>352425</xdr:colOff>
                <xdr:row>4</xdr:row>
                <xdr:rowOff>104775</xdr:rowOff>
              </to>
            </anchor>
          </objectPr>
        </oleObject>
      </mc:Choice>
      <mc:Fallback>
        <oleObject progId="Equation.3" shapeId="2049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Form</vt:lpstr>
      <vt:lpstr>Dropdown</vt:lpstr>
      <vt:lpstr>Graphs</vt:lpstr>
      <vt:lpstr>Age</vt:lpstr>
      <vt:lpstr>End</vt:lpstr>
      <vt:lpstr>Increase</vt:lpstr>
      <vt:lpstr>Interval</vt:lpstr>
      <vt:lpstr>MemberStates</vt:lpstr>
      <vt:lpstr>Percentage</vt:lpstr>
      <vt:lpstr>Prevalence</vt:lpstr>
      <vt:lpstr>Strains</vt:lpstr>
    </vt:vector>
  </TitlesOfParts>
  <Company>AHVLA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Adkin, Amie</dc:creator>
  <cp:lastModifiedBy>Adkin, Amie (AHVLA)</cp:lastModifiedBy>
  <dcterms:created xsi:type="dcterms:W3CDTF">2012-02-02T09:36:44Z</dcterms:created>
  <dcterms:modified xsi:type="dcterms:W3CDTF">2014-08-28T07:53:49Z</dcterms:modified>
</cp:coreProperties>
</file>